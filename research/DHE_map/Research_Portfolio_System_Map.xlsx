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tables/table4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6e62d33d98924123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Overview" sheetId="1" r:id="Re1cb5ec826194334"/>
    <x:sheet xmlns:r="http://schemas.openxmlformats.org/officeDocument/2006/relationships" name="Papers" sheetId="2" r:id="R258886cdbdda4ed7"/>
    <x:sheet xmlns:r="http://schemas.openxmlformats.org/officeDocument/2006/relationships" name="Systems" sheetId="3" r:id="R64763cf22f4c4904"/>
    <x:sheet xmlns:r="http://schemas.openxmlformats.org/officeDocument/2006/relationships" name="Connections" sheetId="4" r:id="R6b810a3366554503"/>
    <x:sheet xmlns:r="http://schemas.openxmlformats.org/officeDocument/2006/relationships" name="Matrix" sheetId="5" r:id="Rdca536478c2d4832"/>
    <x:sheet xmlns:r="http://schemas.openxmlformats.org/officeDocument/2006/relationships" name="Coverage" sheetId="6" r:id="R49b7df5ee90a4482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3">
    <x:font>
      <x:sz val="11"/>
      <x:name val="Carlito"/>
    </x:font>
    <x:font>
      <x:b/>
      <x:sz val="16"/>
      <x:color rgb="FFFFFFFF"/>
      <x:name val="Carlito"/>
    </x:font>
    <x:font>
      <x:b/>
      <x:sz val="11"/>
      <x:color rgb="FFFFFFFF"/>
      <x:name val="Carlito"/>
    </x:font>
  </x:fonts>
  <x:fills count="36">
    <x:fill>
      <x:patternFill patternType="none"/>
    </x:fill>
    <x:fill>
      <x:patternFill patternType="gray125"/>
    </x:fill>
    <x:fill>
      <x:patternFill patternType="solid">
        <x:fgColor rgb="FF111827"/>
      </x:patternFill>
    </x:fill>
    <x:fill>
      <x:patternFill patternType="solid">
        <x:fgColor rgb="FF1F2937"/>
      </x:patternFill>
    </x:fill>
    <x:fill>
      <x:patternFill patternType="solid">
        <x:fgColor rgb="FFDCEEFF"/>
      </x:patternFill>
    </x:fill>
    <x:fill>
      <x:patternFill patternType="solid">
        <x:fgColor rgb="FF2F80ED"/>
      </x:patternFill>
    </x:fill>
    <x:fill>
      <x:patternFill patternType="solid">
        <x:fgColor rgb="FFDDF7EE"/>
      </x:patternFill>
    </x:fill>
    <x:fill>
      <x:patternFill patternType="solid">
        <x:fgColor rgb="FF18B982"/>
      </x:patternFill>
    </x:fill>
    <x:fill>
      <x:patternFill patternType="solid">
        <x:fgColor rgb="FFFDE9D1"/>
      </x:patternFill>
    </x:fill>
    <x:fill>
      <x:patternFill patternType="solid">
        <x:fgColor rgb="FFF2994A"/>
      </x:patternFill>
    </x:fill>
    <x:fill>
      <x:patternFill patternType="solid">
        <x:fgColor rgb="FFEBDDFA"/>
      </x:patternFill>
    </x:fill>
    <x:fill>
      <x:patternFill patternType="solid">
        <x:fgColor rgb="FF9B51E0"/>
      </x:patternFill>
    </x:fill>
    <x:fill>
      <x:patternFill patternType="solid">
        <x:fgColor rgb="FFDCFCE7"/>
      </x:patternFill>
    </x:fill>
    <x:fill>
      <x:patternFill patternType="solid">
        <x:fgColor rgb="FFDBEAFE"/>
      </x:patternFill>
    </x:fill>
    <x:fill>
      <x:patternFill patternType="solid">
        <x:fgColor rgb="FFFEF3C7"/>
      </x:patternFill>
    </x:fill>
    <x:fill>
      <x:patternFill patternType="solid">
        <x:fgColor rgb="FFFDE2E2"/>
      </x:patternFill>
    </x:fill>
    <x:fill>
      <x:patternFill patternType="solid">
        <x:fgColor rgb="FF111827"/>
      </x:patternFill>
    </x:fill>
    <x:fill>
      <x:patternFill patternType="solid">
        <x:fgColor rgb="FF1F2937"/>
      </x:patternFill>
    </x:fill>
    <x:fill>
      <x:patternFill patternType="solid">
        <x:fgColor rgb="FFDCEBFB"/>
      </x:patternFill>
    </x:fill>
    <x:fill>
      <x:patternFill patternType="solid">
        <x:fgColor rgb="FF2F80ED"/>
      </x:patternFill>
    </x:fill>
    <x:fill>
      <x:patternFill patternType="solid">
        <x:fgColor rgb="FFD9F3E9"/>
      </x:patternFill>
    </x:fill>
    <x:fill>
      <x:patternFill patternType="solid">
        <x:fgColor rgb="FF18B982"/>
      </x:patternFill>
    </x:fill>
    <x:fill>
      <x:patternFill patternType="solid">
        <x:fgColor rgb="FFFDE9D4"/>
      </x:patternFill>
    </x:fill>
    <x:fill>
      <x:patternFill patternType="solid">
        <x:fgColor rgb="FFF2994A"/>
      </x:patternFill>
    </x:fill>
    <x:fill>
      <x:patternFill patternType="solid">
        <x:fgColor rgb="FFE9DDF8"/>
      </x:patternFill>
    </x:fill>
    <x:fill>
      <x:patternFill patternType="solid">
        <x:fgColor rgb="FF9B51E0"/>
      </x:patternFill>
    </x:fill>
    <x:fill>
      <x:patternFill patternType="solid">
        <x:fgColor rgb="FF111827"/>
      </x:patternFill>
    </x:fill>
    <x:fill>
      <x:patternFill patternType="solid">
        <x:fgColor rgb="FF1F2937"/>
      </x:patternFill>
    </x:fill>
    <x:fill>
      <x:patternFill patternType="solid">
        <x:fgColor rgb="FFDCEBFB"/>
      </x:patternFill>
    </x:fill>
    <x:fill>
      <x:patternFill patternType="solid">
        <x:fgColor rgb="FF2F80ED"/>
      </x:patternFill>
    </x:fill>
    <x:fill>
      <x:patternFill patternType="solid">
        <x:fgColor rgb="FFD9F3E9"/>
      </x:patternFill>
    </x:fill>
    <x:fill>
      <x:patternFill patternType="solid">
        <x:fgColor rgb="FF18B982"/>
      </x:patternFill>
    </x:fill>
    <x:fill>
      <x:patternFill patternType="solid">
        <x:fgColor rgb="FFFDE9D4"/>
      </x:patternFill>
    </x:fill>
    <x:fill>
      <x:patternFill patternType="solid">
        <x:fgColor rgb="FFF2994A"/>
      </x:patternFill>
    </x:fill>
    <x:fill>
      <x:patternFill patternType="solid">
        <x:fgColor rgb="FFE9DDF8"/>
      </x:patternFill>
    </x:fill>
    <x:fill>
      <x:patternFill patternType="solid">
        <x:fgColor rgb="FF9B51E0"/>
      </x:patternFill>
    </x:fill>
  </x:fills>
  <x:borders count="2">
    <x:border/>
    <x:border/>
  </x:borders>
  <x:cellStyleXfs count="1">
    <x:xf numFmtId="0" fontId="0" fillId="0" borderId="0"/>
  </x:cellStyleXfs>
  <x:cellXfs count="98">
    <x:xf numFmtId="0" fontId="0" fillId="0" borderId="0" xfId="0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left"/>
    </x:xf>
    <x:xf numFmtId="0" fontId="1" fillId="2" borderId="0" xfId="0" applyNumberFormat="1" applyFont="1" applyFill="1" applyBorder="1" applyAlignment="1">
      <x:alignment horizontal="left" vertical="center"/>
    </x:xf>
    <x:xf numFmtId="0" fontId="0" fillId="2" borderId="1" xfId="0" applyNumberFormat="1" applyFont="1" applyFill="1" applyBorder="1"/>
    <x:xf numFmtId="0" fontId="1" fillId="2" borderId="1" xfId="0" applyNumberFormat="1" applyFont="1" applyFill="1" applyBorder="1"/>
    <x:xf numFmtId="0" fontId="1" fillId="2" borderId="1" xfId="0" applyNumberFormat="1" applyFont="1" applyFill="1" applyBorder="1" applyAlignment="1">
      <x:alignment horizontal="left"/>
    </x:xf>
    <x:xf numFmtId="0" fontId="1" fillId="2" borderId="1" xfId="0" applyNumberFormat="1" applyFont="1" applyFill="1" applyBorder="1" applyAlignment="1">
      <x:alignment horizontal="left"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horizontal="center"/>
    </x:xf>
    <x:xf numFmtId="0" fontId="2" fillId="3" borderId="0" xfId="0" applyNumberFormat="1" applyFont="1" applyFill="1" applyBorder="1" applyAlignment="1">
      <x:alignment horizontal="center" vertical="center"/>
    </x:xf>
    <x:xf numFmtId="0" fontId="0" fillId="3" borderId="1" xfId="0" applyNumberFormat="1" applyFont="1" applyFill="1" applyBorder="1"/>
    <x:xf numFmtId="0" fontId="2" fillId="3" borderId="1" xfId="0" applyNumberFormat="1" applyFont="1" applyFill="1" applyBorder="1"/>
    <x:xf numFmtId="0" fontId="2" fillId="3" borderId="1" xfId="0" applyNumberFormat="1" applyFont="1" applyFill="1" applyBorder="1" applyAlignment="1">
      <x:alignment horizontal="center"/>
    </x:xf>
    <x:xf numFmtId="0" fontId="2" fillId="3" borderId="1" xfId="0" applyNumberFormat="1" applyFont="1" applyFill="1" applyBorder="1" applyAlignment="1">
      <x:alignment horizontal="center" vertical="center"/>
    </x:xf>
    <x:xf numFmtId="0" fontId="0" fillId="4" borderId="0" xfId="0" applyNumberFormat="1" applyFont="1" applyFill="1" applyBorder="1"/>
    <x:xf numFmtId="0" fontId="0" fillId="4" borderId="1" xfId="0" applyNumberFormat="1" applyFont="1" applyFill="1" applyBorder="1"/>
    <x:xf numFmtId="0" fontId="0" fillId="5" borderId="0" xfId="0" applyNumberFormat="1" applyFont="1" applyFill="1" applyBorder="1"/>
    <x:xf numFmtId="0" fontId="0" fillId="5" borderId="1" xfId="0" applyNumberFormat="1" applyFont="1" applyFill="1" applyBorder="1"/>
    <x:xf numFmtId="0" fontId="0" fillId="6" borderId="0" xfId="0" applyNumberFormat="1" applyFont="1" applyFill="1" applyBorder="1"/>
    <x:xf numFmtId="0" fontId="0" fillId="6" borderId="1" xfId="0" applyNumberFormat="1" applyFont="1" applyFill="1" applyBorder="1"/>
    <x:xf numFmtId="0" fontId="0" fillId="7" borderId="0" xfId="0" applyNumberFormat="1" applyFont="1" applyFill="1" applyBorder="1"/>
    <x:xf numFmtId="0" fontId="0" fillId="7" borderId="1" xfId="0" applyNumberFormat="1" applyFont="1" applyFill="1" applyBorder="1"/>
    <x:xf numFmtId="0" fontId="0" fillId="8" borderId="0" xfId="0" applyNumberFormat="1" applyFont="1" applyFill="1" applyBorder="1"/>
    <x:xf numFmtId="0" fontId="0" fillId="8" borderId="1" xfId="0" applyNumberFormat="1" applyFont="1" applyFill="1" applyBorder="1"/>
    <x:xf numFmtId="0" fontId="0" fillId="9" borderId="0" xfId="0" applyNumberFormat="1" applyFont="1" applyFill="1" applyBorder="1"/>
    <x:xf numFmtId="0" fontId="0" fillId="9" borderId="1" xfId="0" applyNumberFormat="1" applyFont="1" applyFill="1" applyBorder="1"/>
    <x:xf numFmtId="0" fontId="0" fillId="10" borderId="0" xfId="0" applyNumberFormat="1" applyFont="1" applyFill="1" applyBorder="1"/>
    <x:xf numFmtId="0" fontId="0" fillId="10" borderId="1" xfId="0" applyNumberFormat="1" applyFont="1" applyFill="1" applyBorder="1"/>
    <x:xf numFmtId="0" fontId="0" fillId="11" borderId="0" xfId="0" applyNumberFormat="1" applyFont="1" applyFill="1" applyBorder="1"/>
    <x:xf numFmtId="0" fontId="0" fillId="11" borderId="1" xfId="0" applyNumberFormat="1" applyFont="1" applyFill="1" applyBorder="1"/>
    <x:xf numFmtId="0" fontId="0" fillId="0" borderId="0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wrapText="1"/>
    </x:xf>
    <x:xf numFmtId="0" fontId="0" fillId="12" borderId="0" xfId="0" applyNumberFormat="1" applyFont="1" applyFill="1" applyBorder="1"/>
    <x:xf numFmtId="0" fontId="0" fillId="12" borderId="1" xfId="0" applyNumberFormat="1" applyFont="1" applyFill="1" applyBorder="1"/>
    <x:xf numFmtId="0" fontId="0" fillId="13" borderId="0" xfId="0" applyNumberFormat="1" applyFont="1" applyFill="1" applyBorder="1"/>
    <x:xf numFmtId="0" fontId="0" fillId="13" borderId="1" xfId="0" applyNumberFormat="1" applyFont="1" applyFill="1" applyBorder="1"/>
    <x:xf numFmtId="0" fontId="0" fillId="14" borderId="0" xfId="0" applyNumberFormat="1" applyFont="1" applyFill="1" applyBorder="1"/>
    <x:xf numFmtId="0" fontId="0" fillId="14" borderId="1" xfId="0" applyNumberFormat="1" applyFont="1" applyFill="1" applyBorder="1"/>
    <x:xf numFmtId="0" fontId="0" fillId="15" borderId="0" xfId="0" applyNumberFormat="1" applyFont="1" applyFill="1" applyBorder="1"/>
    <x:xf numFmtId="0" fontId="0" fillId="15" borderId="1" xfId="0" applyNumberFormat="1" applyFont="1" applyFill="1" applyBorder="1"/>
    <x:xf numFmtId="0" fontId="2" fillId="5" borderId="0" xfId="0" applyNumberFormat="1" applyFont="1" applyFill="1" applyBorder="1"/>
    <x:xf numFmtId="0" fontId="2" fillId="5" borderId="1" xfId="0" applyNumberFormat="1" applyFont="1" applyFill="1" applyBorder="1"/>
    <x:xf numFmtId="0" fontId="2" fillId="5" borderId="0" xfId="0" applyNumberFormat="1" applyFont="1" applyFill="1" applyBorder="1" applyAlignment="1">
      <x:alignment horizontal="center"/>
    </x:xf>
    <x:xf numFmtId="0" fontId="2" fillId="5" borderId="1" xfId="0" applyNumberFormat="1" applyFont="1" applyFill="1" applyBorder="1" applyAlignment="1">
      <x:alignment horizontal="center"/>
    </x:xf>
    <x:xf numFmtId="0" fontId="2" fillId="7" borderId="0" xfId="0" applyNumberFormat="1" applyFont="1" applyFill="1" applyBorder="1"/>
    <x:xf numFmtId="0" fontId="2" fillId="7" borderId="1" xfId="0" applyNumberFormat="1" applyFont="1" applyFill="1" applyBorder="1"/>
    <x:xf numFmtId="0" fontId="2" fillId="7" borderId="0" xfId="0" applyNumberFormat="1" applyFont="1" applyFill="1" applyBorder="1" applyAlignment="1">
      <x:alignment horizontal="center"/>
    </x:xf>
    <x:xf numFmtId="0" fontId="2" fillId="7" borderId="1" xfId="0" applyNumberFormat="1" applyFont="1" applyFill="1" applyBorder="1" applyAlignment="1">
      <x:alignment horizontal="center"/>
    </x:xf>
    <x:xf numFmtId="0" fontId="2" fillId="3" borderId="0" xfId="0" applyNumberFormat="1" applyFont="1" applyFill="1" applyBorder="1" applyAlignment="1">
      <x:alignment horizontal="center" vertical="center" wrapText="1"/>
    </x:xf>
    <x:xf numFmtId="0" fontId="2" fillId="3" borderId="1" xfId="0" applyNumberFormat="1" applyFont="1" applyFill="1" applyBorder="1" applyAlignment="1">
      <x:alignment horizontal="center" vertical="center" wrapText="1"/>
    </x:xf>
    <x:xf numFmtId="0" fontId="0" fillId="0" borderId="0" xfId="0" applyNumberFormat="1" applyFont="1" applyFill="1" applyBorder="1"/>
    <x:xf numFmtId="0" fontId="1" fillId="16" borderId="0" xfId="0" applyNumberFormat="1" applyFont="1" applyFill="1" applyBorder="1" applyAlignment="1">
      <x:alignment horizontal="left" vertical="center"/>
    </x:xf>
    <x:xf numFmtId="0" fontId="2" fillId="17" borderId="0" xfId="0" applyNumberFormat="1" applyFont="1" applyFill="1" applyBorder="1" applyAlignment="1">
      <x:alignment horizontal="center" vertical="center"/>
    </x:xf>
    <x:xf numFmtId="0" fontId="0" fillId="17" borderId="0" xfId="0" applyNumberFormat="1" applyFont="1" applyFill="1" applyBorder="1" applyAlignment="1">
      <x:alignment wrapText="1"/>
    </x:xf>
    <x:xf numFmtId="0" fontId="2" fillId="17" borderId="0" xfId="0" applyNumberFormat="1" applyFont="1" applyFill="1" applyBorder="1" applyAlignment="1">
      <x:alignment wrapText="1"/>
    </x:xf>
    <x:xf numFmtId="0" fontId="2" fillId="17" borderId="0" xfId="0" applyNumberFormat="1" applyFont="1" applyFill="1" applyBorder="1" applyAlignment="1">
      <x:alignment horizontal="center" wrapText="1"/>
    </x:xf>
    <x:xf numFmtId="0" fontId="0" fillId="18" borderId="0" xfId="0" applyNumberFormat="1" applyFont="1" applyFill="1" applyBorder="1"/>
    <x:xf numFmtId="0" fontId="0" fillId="19" borderId="0" xfId="0" applyNumberFormat="1" applyFont="1" applyFill="1" applyBorder="1"/>
    <x:xf numFmtId="0" fontId="0" fillId="20" borderId="0" xfId="0" applyNumberFormat="1" applyFont="1" applyFill="1" applyBorder="1"/>
    <x:xf numFmtId="0" fontId="0" fillId="21" borderId="0" xfId="0" applyNumberFormat="1" applyFont="1" applyFill="1" applyBorder="1"/>
    <x:xf numFmtId="0" fontId="0" fillId="22" borderId="0" xfId="0" applyNumberFormat="1" applyFont="1" applyFill="1" applyBorder="1"/>
    <x:xf numFmtId="0" fontId="0" fillId="23" borderId="0" xfId="0" applyNumberFormat="1" applyFont="1" applyFill="1" applyBorder="1"/>
    <x:xf numFmtId="0" fontId="0" fillId="24" borderId="0" xfId="0" applyNumberFormat="1" applyFont="1" applyFill="1" applyBorder="1"/>
    <x:xf numFmtId="0" fontId="0" fillId="25" borderId="0" xfId="0" applyNumberFormat="1" applyFont="1" applyFill="1" applyBorder="1"/>
    <x:xf numFmtId="0" fontId="2" fillId="17" borderId="0" xfId="0" applyNumberFormat="1" applyFont="1" applyFill="1" applyBorder="1" applyAlignment="1">
      <x:alignment horizontal="center" vertical="center" wrapText="1"/>
    </x:xf>
    <x:xf numFmtId="0" fontId="0" fillId="12" borderId="0" xfId="0" applyNumberFormat="1" applyFont="1" applyFill="1" applyBorder="1" applyAlignment="1">
      <x:alignment wrapText="1"/>
    </x:xf>
    <x:xf numFmtId="0" fontId="0" fillId="13" borderId="0" xfId="0" applyNumberFormat="1" applyFont="1" applyFill="1" applyBorder="1" applyAlignment="1">
      <x:alignment wrapText="1"/>
    </x:xf>
    <x:xf numFmtId="0" fontId="0" fillId="14" borderId="0" xfId="0" applyNumberFormat="1" applyFont="1" applyFill="1" applyBorder="1" applyAlignment="1">
      <x:alignment wrapText="1"/>
    </x:xf>
    <x:xf numFmtId="0" fontId="0" fillId="15" borderId="0" xfId="0" applyNumberFormat="1" applyFont="1" applyFill="1" applyBorder="1" applyAlignment="1">
      <x:alignment wrapText="1"/>
    </x:xf>
    <x:xf numFmtId="0" fontId="0" fillId="17" borderId="0" xfId="0" applyNumberFormat="1" applyFont="1" applyFill="1" applyBorder="1"/>
    <x:xf numFmtId="0" fontId="2" fillId="17" borderId="0" xfId="0" applyNumberFormat="1" applyFont="1" applyFill="1" applyBorder="1"/>
    <x:xf numFmtId="0" fontId="0" fillId="18" borderId="0" xfId="0" applyNumberFormat="1" applyFont="1" applyFill="1" applyBorder="1" applyAlignment="1">
      <x:alignment wrapText="1"/>
    </x:xf>
    <x:xf numFmtId="0" fontId="2" fillId="5" borderId="0" xfId="0" applyNumberFormat="1" applyFont="1" applyFill="1" applyBorder="1" applyAlignment="1">
      <x:alignment horizontal="center" wrapText="1"/>
    </x:xf>
    <x:xf numFmtId="0" fontId="0" fillId="20" borderId="0" xfId="0" applyNumberFormat="1" applyFont="1" applyFill="1" applyBorder="1" applyAlignment="1">
      <x:alignment wrapText="1"/>
    </x:xf>
    <x:xf numFmtId="0" fontId="2" fillId="7" borderId="0" xfId="0" applyNumberFormat="1" applyFont="1" applyFill="1" applyBorder="1" applyAlignment="1">
      <x:alignment horizontal="center" wrapText="1"/>
    </x:xf>
    <x:xf numFmtId="0" fontId="0" fillId="22" borderId="0" xfId="0" applyNumberFormat="1" applyFont="1" applyFill="1" applyBorder="1" applyAlignment="1">
      <x:alignment wrapText="1"/>
    </x:xf>
    <x:xf numFmtId="0" fontId="0" fillId="3" borderId="0" xfId="0" applyNumberFormat="1" applyFont="1" applyFill="1" applyBorder="1" applyAlignment="1">
      <x:alignment wrapText="1"/>
    </x:xf>
    <x:xf numFmtId="0" fontId="2" fillId="3" borderId="0" xfId="0" applyNumberFormat="1" applyFont="1" applyFill="1" applyBorder="1" applyAlignment="1">
      <x:alignment wrapText="1"/>
    </x:xf>
    <x:xf numFmtId="0" fontId="2" fillId="3" borderId="0" xfId="0" applyNumberFormat="1" applyFont="1" applyFill="1" applyBorder="1" applyAlignment="1">
      <x:alignment horizontal="center" wrapText="1"/>
    </x:xf>
    <x:xf numFmtId="0" fontId="1" fillId="26" borderId="0" xfId="0" applyNumberFormat="1" applyFont="1" applyFill="1" applyBorder="1" applyAlignment="1">
      <x:alignment horizontal="left" vertical="center"/>
    </x:xf>
    <x:xf numFmtId="0" fontId="2" fillId="27" borderId="0" xfId="0" applyNumberFormat="1" applyFont="1" applyFill="1" applyBorder="1" applyAlignment="1">
      <x:alignment horizontal="center" vertical="center"/>
    </x:xf>
    <x:xf numFmtId="0" fontId="2" fillId="27" borderId="0" xfId="0" applyNumberFormat="1" applyFont="1" applyFill="1" applyBorder="1" applyAlignment="1">
      <x:alignment horizontal="center" wrapText="1"/>
    </x:xf>
    <x:xf numFmtId="0" fontId="0" fillId="28" borderId="0" xfId="0" applyNumberFormat="1" applyFont="1" applyFill="1" applyBorder="1"/>
    <x:xf numFmtId="0" fontId="0" fillId="29" borderId="0" xfId="0" applyNumberFormat="1" applyFont="1" applyFill="1" applyBorder="1"/>
    <x:xf numFmtId="0" fontId="0" fillId="30" borderId="0" xfId="0" applyNumberFormat="1" applyFont="1" applyFill="1" applyBorder="1"/>
    <x:xf numFmtId="0" fontId="0" fillId="31" borderId="0" xfId="0" applyNumberFormat="1" applyFont="1" applyFill="1" applyBorder="1"/>
    <x:xf numFmtId="0" fontId="0" fillId="32" borderId="0" xfId="0" applyNumberFormat="1" applyFont="1" applyFill="1" applyBorder="1"/>
    <x:xf numFmtId="0" fontId="0" fillId="33" borderId="0" xfId="0" applyNumberFormat="1" applyFont="1" applyFill="1" applyBorder="1"/>
    <x:xf numFmtId="0" fontId="0" fillId="34" borderId="0" xfId="0" applyNumberFormat="1" applyFont="1" applyFill="1" applyBorder="1"/>
    <x:xf numFmtId="0" fontId="0" fillId="35" borderId="0" xfId="0" applyNumberFormat="1" applyFont="1" applyFill="1" applyBorder="1"/>
    <x:xf numFmtId="0" fontId="2" fillId="27" borderId="0" xfId="0" applyNumberFormat="1" applyFont="1" applyFill="1" applyBorder="1" applyAlignment="1">
      <x:alignment horizontal="center" vertical="center" wrapText="1"/>
    </x:xf>
    <x:xf numFmtId="0" fontId="0" fillId="28" borderId="0" xfId="0" applyNumberFormat="1" applyFont="1" applyFill="1" applyBorder="1" applyAlignment="1">
      <x:alignment wrapText="1"/>
    </x:xf>
    <x:xf numFmtId="0" fontId="0" fillId="30" borderId="0" xfId="0" applyNumberFormat="1" applyFont="1" applyFill="1" applyBorder="1" applyAlignment="1">
      <x:alignment wrapText="1"/>
    </x:xf>
    <x:xf numFmtId="0" fontId="0" fillId="32" borderId="0" xfId="0" applyNumberFormat="1" applyFont="1" applyFill="1" applyBorder="1" applyAlignment="1">
      <x:alignment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aa687aca645c4cb9" /><Relationship Type="http://schemas.openxmlformats.org/officeDocument/2006/relationships/theme" Target="/xl/theme/theme1.xml" Id="R163979af01f74712" /><Relationship Type="http://schemas.openxmlformats.org/officeDocument/2006/relationships/sharedStrings" Target="/xl/sharedStrings.xml" Id="R50b01d07fb6241f4" /><Relationship Type="http://schemas.openxmlformats.org/officeDocument/2006/relationships/worksheet" Target="/xl/worksheets/sheet1.xml" Id="Re1cb5ec826194334" /><Relationship Type="http://schemas.openxmlformats.org/officeDocument/2006/relationships/worksheet" Target="/xl/worksheets/sheet2.xml" Id="R258886cdbdda4ed7" /><Relationship Type="http://schemas.openxmlformats.org/officeDocument/2006/relationships/worksheet" Target="/xl/worksheets/sheet3.xml" Id="R64763cf22f4c4904" /><Relationship Type="http://schemas.openxmlformats.org/officeDocument/2006/relationships/worksheet" Target="/xl/worksheets/sheet4.xml" Id="R6b810a3366554503" /><Relationship Type="http://schemas.openxmlformats.org/officeDocument/2006/relationships/worksheet" Target="/xl/worksheets/sheet5.xml" Id="Rdca536478c2d4832" /><Relationship Type="http://schemas.openxmlformats.org/officeDocument/2006/relationships/worksheet" Target="/xl/worksheets/sheet6.xml" Id="R49b7df5ee90a4482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96f4bd43f4594889" /></Relationships>
</file>

<file path=xl/drawings/charts/chart1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Top systems by paper coverage</a:t>
            </a:r>
          </a:p>
        </c:rich>
      </c:tx>
    </c:title>
    <c:plotArea>
      <c:barChart>
        <c:barDir val="col"/>
        <c:varyColors val="0"/>
        <c:ser>
          <c:idx val="0"/>
          <c:order val="0"/>
          <c:tx>
            <c:v>Paper count</c:v>
          </c:tx>
          <c:cat>
            <c:strRef>
              <c:f>'Coverage'!$G$2:$G$16</c:f>
              <c:strCache>
                <c:ptCount val="0"/>
              </c:strCache>
            </c:strRef>
          </c:cat>
          <c:val>
            <c:numRef>
              <c:f>'Coverage'!$H$2:$H$16</c:f>
              <c:numCache>
                <c:formatCode>General</c:formatCode>
                <c:ptCount val="0"/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  <c:lblOffset val="10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6</xdr:col>
      <xdr:colOff>0</xdr:colOff>
      <xdr:row>17</xdr:row>
      <xdr:rowOff>0</xdr:rowOff>
    </xdr:from>
    <xdr:to>
      <xdr:col>14</xdr:col>
      <xdr:colOff>0</xdr:colOff>
      <xdr:row>42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96f4bd43f4594889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1" name="PapersTable" displayName="PapersTable" ref="A1:E15" headerRowCount="1" totalsRowCount="0" totalsRowShown="0">
  <x:tableColumns count="5">
    <x:tableColumn id="1" name="Paper"/>
    <x:tableColumn id="2" name="Phase"/>
    <x:tableColumn id="3" name="Phase Order"/>
    <x:tableColumn id="4" name="Paper Order"/>
    <x:tableColumn id="5" name="System Count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SystemsTable" displayName="SystemsTable" ref="A1:D45" headerRowCount="1" totalsRowCount="0" totalsRowShown="0">
  <x:tableColumns count="4">
    <x:tableColumn id="1" name="System"/>
    <x:tableColumn id="2" name="Paper Count"/>
    <x:tableColumn id="3" name="Coverage"/>
    <x:tableColumn id="4" name="Papers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ConnectionsTable" displayName="ConnectionsTable" ref="A1:D109" headerRowCount="1" totalsRowCount="0" totalsRowShown="0">
  <x:tableColumns count="4">
    <x:tableColumn id="1" name="Phase"/>
    <x:tableColumn id="2" name="Paper"/>
    <x:tableColumn id="3" name="System"/>
    <x:tableColumn id="4" name="Edge ID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4" name="CoverageTable" displayName="CoverageTable" ref="A1:E45" headerRowCount="1" totalsRowCount="0" totalsRowShown="0">
  <x:tableColumns count="5">
    <x:tableColumn id="1" name="System"/>
    <x:tableColumn id="2" name="Paper Count"/>
    <x:tableColumn id="3" name="Coverage"/>
    <x:tableColumn id="4" name="Foundation Papers"/>
    <x:tableColumn id="5" name="Construction Papers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ffdef5b1c8ee4af8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5209ce3c71fc47ea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3b34d8f3b08f4c06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drawing" Target="/xl/drawings/drawing1.xml" Id="R4f1892ff34074dbf" /><Relationship Type="http://schemas.openxmlformats.org/officeDocument/2006/relationships/table" Target="/xl/tables/table4.xml" Id="R5ace375938d04ccc" /></Relationships>
</file>

<file path=xl/worksheets/sheet1.xml><?xml version="1.0" encoding="utf-8"?>
<x:worksheet xmlns:x="http://schemas.openxmlformats.org/spreadsheetml/2006/main">
  <x:sheetFormatPr defaultRowHeight="15"/>
  <x:cols>
    <x:col min="1" max="1" width="28" hidden="0" customWidth="1"/>
    <x:col min="2" max="2" width="14" hidden="0" customWidth="1"/>
    <x:col min="4" max="4" width="20" hidden="0" customWidth="1"/>
    <x:col min="5" max="5" width="16" hidden="0" customWidth="1"/>
    <x:col min="6" max="6" width="28" hidden="0" customWidth="1"/>
  </x:cols>
  <x:sheetData>
    <x:row r="1">
      <x:c r="A1" s="83" t="str">
        <x:v>Research Portfolio Map — Source of Truth</x:v>
      </x:c>
      <x:c r="B1" s="83"/>
      <x:c r="C1" s="83"/>
      <x:c r="D1" s="83"/>
      <x:c r="E1" s="83"/>
      <x:c r="F1" s="83"/>
    </x:row>
    <x:row r="3">
      <x:c r="A3" s="84" t="str">
        <x:v>Metric</x:v>
      </x:c>
      <x:c r="B3" s="84" t="str">
        <x:v>Value</x:v>
      </x:c>
      <x:c r="D3" s="84" t="str">
        <x:v>Phase</x:v>
      </x:c>
      <x:c r="E3" s="84" t="str">
        <x:v>Color</x:v>
      </x:c>
      <x:c r="F3" s="84" t="str">
        <x:v>Status</x:v>
      </x:c>
    </x:row>
    <x:row r="4">
      <x:c r="A4" t="str">
        <x:v>Active papers</x:v>
      </x:c>
      <x:c r="B4" t="n">
        <x:f>COUNTA(Papers!A2:A200)</x:f>
        <x:v>16</x:v>
      </x:c>
      <x:c r="D4" s="86" t="str">
        <x:v>Foundation</x:v>
      </x:c>
      <x:c r="E4" s="87" t="str">
        <x:v>#2F80ED</x:v>
      </x:c>
      <x:c r="F4" s="86" t="str">
        <x:v>Mapped</x:v>
      </x:c>
    </x:row>
    <x:row r="5">
      <x:c r="A5" t="str">
        <x:v>Foundation papers</x:v>
      </x:c>
      <x:c r="B5" t="n">
        <x:f>COUNTIF(Papers!B2:B200,"Foundation")</x:f>
        <x:v>8</x:v>
      </x:c>
      <x:c r="D5" s="88" t="str">
        <x:v>Construction</x:v>
      </x:c>
      <x:c r="E5" s="89" t="str">
        <x:v>#18B982</x:v>
      </x:c>
      <x:c r="F5" s="88" t="str">
        <x:v>Mapped</x:v>
      </x:c>
    </x:row>
    <x:row r="6">
      <x:c r="A6" t="str">
        <x:v>Construction papers</x:v>
      </x:c>
      <x:c r="B6" t="n">
        <x:f>COUNTIF(Papers!B2:B200,"Construction")</x:f>
        <x:v>6</x:v>
      </x:c>
      <x:c r="D6" s="90" t="str">
        <x:v>Action</x:v>
      </x:c>
      <x:c r="E6" s="91" t="str">
        <x:v>#F2994A</x:v>
      </x:c>
      <x:c r="F6" s="90" t="str">
        <x:v>Mapped</x:v>
      </x:c>
    </x:row>
    <x:row r="7">
      <x:c r="A7" t="str">
        <x:v>Action papers</x:v>
      </x:c>
      <x:c r="B7" t="n">
        <x:f>COUNTIF(Papers!B2:B200,"Action")</x:f>
        <x:v>1</x:v>
      </x:c>
      <x:c r="D7" s="92" t="str">
        <x:v>Integration</x:v>
      </x:c>
      <x:c r="E7" s="93" t="str">
        <x:v>#9B51E0</x:v>
      </x:c>
      <x:c r="F7" s="92" t="str">
        <x:v>Mapped</x:v>
      </x:c>
    </x:row>
    <x:row r="8">
      <x:c r="A8" t="str">
        <x:v>Integration papers</x:v>
      </x:c>
      <x:c r="B8" t="n">
        <x:f>COUNTIF(Papers!B2:B200,"Integration")</x:f>
        <x:v>1</x:v>
      </x:c>
    </x:row>
    <x:row r="9">
      <x:c r="A9" t="str">
        <x:v>Paper→system edges</x:v>
      </x:c>
      <x:c r="B9" t="n">
        <x:f>COUNTA(Connections!A2:A500)</x:f>
        <x:v>134</x:v>
      </x:c>
    </x:row>
    <x:row r="10">
      <x:c r="A10" s="13" t="str">
        <x:v>Distinct systems</x:v>
      </x:c>
      <x:c r="B10" s="13" t="n">
        <x:f>COUNTA(Systems!A2:A200)</x:f>
        <x:v>46</x:v>
      </x:c>
      <x:c r="C10" s="13"/>
      <x:c r="D10" s="13"/>
      <x:c r="E10" s="13"/>
      <x:c r="F10" s="13"/>
    </x:row>
    <x:row r="11">
      <x:c r="A11" s="34"/>
      <x:c r="B11" s="34"/>
      <x:c r="C11" s="34"/>
      <x:c r="D11" s="34"/>
      <x:c r="E11" s="34"/>
      <x:c r="F11" s="34"/>
    </x:row>
    <x:row r="12">
      <x:c r="A12" s="85" t="str">
        <x:v>Notes</x:v>
      </x:c>
      <x:c r="B12" s="85"/>
      <x:c r="C12" s="85"/>
      <x:c r="D12" s="85"/>
      <x:c r="E12" s="85"/>
      <x:c r="F12" s="85"/>
    </x:row>
    <x:row r="13" ht="24" customHeight="1">
      <x:c r="A13" s="34" t="str">
        <x:v>Every row in Connections is exactly one paper→system edge.</x:v>
      </x:c>
      <x:c r="B13" s="34"/>
      <x:c r="C13" s="34"/>
      <x:c r="D13" s="34"/>
      <x:c r="E13" s="34"/>
      <x:c r="F13" s="34"/>
    </x:row>
    <x:row r="14" ht="24" customHeight="1">
      <x:c r="A14" s="34" t="str">
        <x:v>The deterministic diagram is generated from the same edge table; duplicate edges are rejected before rendering.</x:v>
      </x:c>
      <x:c r="B14" s="34"/>
      <x:c r="C14" s="34"/>
      <x:c r="D14" s="34"/>
      <x:c r="E14" s="34"/>
      <x:c r="F14" s="34"/>
    </x:row>
    <x:row r="15" ht="24" customHeight="1">
      <x:c r="A15" s="34" t="str">
        <x:v>System mapping represents implicated brain/body systems from the current research map, not a claim of unique anatomical localization.</x:v>
      </x:c>
      <x:c r="B15" s="34"/>
      <x:c r="C15" s="34"/>
      <x:c r="D15" s="34"/>
      <x:c r="E15" s="34"/>
      <x:c r="F15" s="34"/>
    </x:row>
  </x:sheetData>
  <x:mergeCells>
    <x:mergeCell ref="A1:F1"/>
    <x:mergeCell ref="A11:F11"/>
    <x:mergeCell ref="A12:F12"/>
    <x:mergeCell ref="A13:F13"/>
    <x:mergeCell ref="A14:F14"/>
    <x:mergeCell ref="A15:F15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FormatPr defaultRowHeight="15"/>
  <x:cols>
    <x:col min="1" max="1" width="28" hidden="0" customWidth="1"/>
    <x:col min="2" max="2" width="16" hidden="0" customWidth="1"/>
    <x:col min="3" max="3" width="14" hidden="0" customWidth="1"/>
    <x:col min="4" max="4" width="14" hidden="0" customWidth="1"/>
    <x:col min="5" max="5" width="14" hidden="0" customWidth="1"/>
  </x:cols>
  <x:sheetData>
    <x:row r="1">
      <x:c r="A1" s="84" t="str">
        <x:v>Paper</x:v>
      </x:c>
      <x:c r="B1" s="84" t="str">
        <x:v>Phase</x:v>
      </x:c>
      <x:c r="C1" s="84" t="str">
        <x:v>Phase Order</x:v>
      </x:c>
      <x:c r="D1" s="84" t="str">
        <x:v>Paper Order</x:v>
      </x:c>
      <x:c r="E1" s="84" t="str">
        <x:v>System Count</x:v>
      </x:c>
    </x:row>
    <x:row r="2">
      <x:c r="A2" s="86" t="str">
        <x:v>Boundary Theory</x:v>
      </x:c>
      <x:c r="B2" s="86" t="str">
        <x:v>Foundation</x:v>
      </x:c>
      <x:c r="C2" s="86" t="n">
        <x:v>1</x:v>
      </x:c>
      <x:c r="D2" s="86" t="n">
        <x:v>1</x:v>
      </x:c>
      <x:c r="E2" s="86" t="n">
        <x:f>COUNTIF(Connections!$B:$B,A2)</x:f>
        <x:v>0</x:v>
      </x:c>
    </x:row>
    <x:row r="3">
      <x:c r="A3" s="86" t="str">
        <x:v>Containment</x:v>
      </x:c>
      <x:c r="B3" s="86" t="str">
        <x:v>Foundation</x:v>
      </x:c>
      <x:c r="C3" s="86" t="n">
        <x:v>1</x:v>
      </x:c>
      <x:c r="D3" s="86" t="n">
        <x:v>2</x:v>
      </x:c>
      <x:c r="E3" s="86" t="n">
        <x:f>COUNTIF(Connections!$B:$B,A3)</x:f>
        <x:v>9</x:v>
      </x:c>
    </x:row>
    <x:row r="4">
      <x:c r="A4" s="86" t="str">
        <x:v>EndGame</x:v>
      </x:c>
      <x:c r="B4" s="86" t="str">
        <x:v>Foundation</x:v>
      </x:c>
      <x:c r="C4" s="86" t="n">
        <x:v>1</x:v>
      </x:c>
      <x:c r="D4" s="86" t="n">
        <x:v>3</x:v>
      </x:c>
      <x:c r="E4" s="86" t="n">
        <x:f>COUNTIF(Connections!$B:$B,A4)</x:f>
        <x:v>7</x:v>
      </x:c>
    </x:row>
    <x:row r="5">
      <x:c r="A5" s="86" t="str">
        <x:v>How Long Is a Thought?</x:v>
      </x:c>
      <x:c r="B5" s="86" t="str">
        <x:v>Foundation</x:v>
      </x:c>
      <x:c r="C5" s="86" t="n">
        <x:v>1</x:v>
      </x:c>
      <x:c r="D5" s="86" t="n">
        <x:v>4</x:v>
      </x:c>
      <x:c r="E5" s="86" t="n">
        <x:f>COUNTIF(Connections!$B:$B,A5)</x:f>
        <x:v>7</x:v>
      </x:c>
    </x:row>
    <x:row r="6">
      <x:c r="A6" s="86" t="str">
        <x:v>Icarus</x:v>
      </x:c>
      <x:c r="B6" s="86" t="str">
        <x:v>Foundation</x:v>
      </x:c>
      <x:c r="C6" s="86" t="n">
        <x:v>1</x:v>
      </x:c>
      <x:c r="D6" s="86" t="n">
        <x:v>5</x:v>
      </x:c>
      <x:c r="E6" s="86" t="n">
        <x:f>COUNTIF(Connections!$B:$B,A6)</x:f>
        <x:v>12</x:v>
      </x:c>
    </x:row>
    <x:row r="7">
      <x:c r="A7" s="86" t="str">
        <x:v>Squirrel</x:v>
      </x:c>
      <x:c r="B7" s="86" t="str">
        <x:v>Foundation</x:v>
      </x:c>
      <x:c r="C7" s="86" t="n">
        <x:v>1</x:v>
      </x:c>
      <x:c r="D7" s="86" t="n">
        <x:v>6</x:v>
      </x:c>
      <x:c r="E7" s="86" t="n">
        <x:f>COUNTIF(Connections!$B:$B,A7)</x:f>
        <x:v>8</x:v>
      </x:c>
    </x:row>
    <x:row r="8">
      <x:c r="A8" s="86" t="str">
        <x:v>Time</x:v>
      </x:c>
      <x:c r="B8" s="86" t="str">
        <x:v>Foundation</x:v>
      </x:c>
      <x:c r="C8" s="86" t="n">
        <x:v>1</x:v>
      </x:c>
      <x:c r="D8" s="86" t="n">
        <x:v>7</x:v>
      </x:c>
      <x:c r="E8" s="86" t="n">
        <x:f>COUNTIF(Connections!$B:$B,A8)</x:f>
        <x:v>11</x:v>
      </x:c>
    </x:row>
    <x:row r="9">
      <x:c r="A9" s="86" t="str">
        <x:v>You Are Here</x:v>
      </x:c>
      <x:c r="B9" s="86" t="str">
        <x:v>Foundation</x:v>
      </x:c>
      <x:c r="C9" s="86" t="n">
        <x:v>1</x:v>
      </x:c>
      <x:c r="D9" s="86" t="n">
        <x:v>8</x:v>
      </x:c>
      <x:c r="E9" s="86" t="n">
        <x:f>COUNTIF(Connections!$B:$B,A9)</x:f>
        <x:v>6</x:v>
      </x:c>
    </x:row>
    <x:row r="10">
      <x:c r="A10" s="88" t="str">
        <x:v>Relevance</x:v>
      </x:c>
      <x:c r="B10" s="88" t="str">
        <x:v>Construction</x:v>
      </x:c>
      <x:c r="C10" s="88" t="n">
        <x:v>2</x:v>
      </x:c>
      <x:c r="D10" s="88" t="n">
        <x:v>9</x:v>
      </x:c>
      <x:c r="E10" s="88" t="n">
        <x:f>COUNTIF(Connections!$B:$B,A10)</x:f>
        <x:v>5</x:v>
      </x:c>
    </x:row>
    <x:row r="11">
      <x:c r="A11" s="88" t="str">
        <x:v>Push</x:v>
      </x:c>
      <x:c r="B11" s="88" t="str">
        <x:v>Construction</x:v>
      </x:c>
      <x:c r="C11" s="88" t="n">
        <x:v>2</x:v>
      </x:c>
      <x:c r="D11" s="88" t="n">
        <x:v>10</x:v>
      </x:c>
      <x:c r="E11" s="88" t="n">
        <x:f>COUNTIF(Connections!$B:$B,A11)</x:f>
        <x:v>6</x:v>
      </x:c>
    </x:row>
    <x:row r="12">
      <x:c r="A12" s="88" t="str">
        <x:v>Pull</x:v>
      </x:c>
      <x:c r="B12" s="88" t="str">
        <x:v>Construction</x:v>
      </x:c>
      <x:c r="C12" s="88" t="n">
        <x:v>2</x:v>
      </x:c>
      <x:c r="D12" s="88" t="n">
        <x:v>11</x:v>
      </x:c>
      <x:c r="E12" s="88" t="n">
        <x:f>COUNTIF(Connections!$B:$B,A12)</x:f>
        <x:v>8</x:v>
      </x:c>
    </x:row>
    <x:row r="13">
      <x:c r="A13" s="88" t="str">
        <x:v>PhoneWalletKeys</x:v>
      </x:c>
      <x:c r="B13" s="88" t="str">
        <x:v>Construction</x:v>
      </x:c>
      <x:c r="C13" s="88" t="n">
        <x:v>2</x:v>
      </x:c>
      <x:c r="D13" s="88" t="n">
        <x:v>12</x:v>
      </x:c>
      <x:c r="E13" s="88" t="n">
        <x:f>COUNTIF(Connections!$B:$B,A13)</x:f>
        <x:v>7</x:v>
      </x:c>
    </x:row>
    <x:row r="14">
      <x:c r="A14" s="88" t="str">
        <x:v>FuckYourFeelings</x:v>
      </x:c>
      <x:c r="B14" s="88" t="str">
        <x:v>Construction</x:v>
      </x:c>
      <x:c r="C14" s="88" t="n">
        <x:v>2</x:v>
      </x:c>
      <x:c r="D14" s="88" t="n">
        <x:v>13</x:v>
      </x:c>
      <x:c r="E14" s="88" t="n">
        <x:f>COUNTIF(Connections!$B:$B,A14)</x:f>
        <x:v>11</x:v>
      </x:c>
    </x:row>
    <x:row r="15">
      <x:c r="A15" s="88" t="str">
        <x:v>Weight</x:v>
      </x:c>
      <x:c r="B15" s="88" t="str">
        <x:v>Construction</x:v>
      </x:c>
      <x:c r="C15" s="88" t="n">
        <x:v>2</x:v>
      </x:c>
      <x:c r="D15" s="88" t="n">
        <x:v>14</x:v>
      </x:c>
      <x:c r="E15" s="88" t="n">
        <x:f>COUNTIF(Connections!$B:$B,A15)</x:f>
        <x:v>11</x:v>
      </x:c>
    </x:row>
    <x:row r="16">
      <x:c r="A16" s="90" t="str">
        <x:v>WhatchyaDoin</x:v>
      </x:c>
      <x:c r="B16" s="90" t="str">
        <x:v>Action</x:v>
      </x:c>
      <x:c r="C16" s="90" t="n">
        <x:v>3</x:v>
      </x:c>
      <x:c r="D16" s="90" t="n">
        <x:v>15</x:v>
      </x:c>
      <x:c r="E16" s="90" t="n">
        <x:f>COUNTIF(Connections!$B:$B,A16)</x:f>
        <x:v>10</x:v>
      </x:c>
    </x:row>
    <x:row r="17">
      <x:c r="A17" s="92" t="str">
        <x:v>FutureYou</x:v>
      </x:c>
      <x:c r="B17" s="92" t="str">
        <x:v>Integration</x:v>
      </x:c>
      <x:c r="C17" s="92" t="n">
        <x:v>4</x:v>
      </x:c>
      <x:c r="D17" s="92" t="n">
        <x:v>16</x:v>
      </x:c>
      <x:c r="E17" s="92" t="n">
        <x:f>COUNTIF(Connections!$B:$B,A17)</x:f>
        <x:v>16</x:v>
      </x:c>
    </x:row>
  </x:sheetData>
  <x:pageMargins left="0.7" right="0.7" top="0.75" bottom="0.75" header="0.3" footer="0.3"/>
  <x:tableParts count="1">
    <x:tablePart xmlns:r="http://schemas.openxmlformats.org/officeDocument/2006/relationships" r:id="Rffdef5b1c8ee4af8"/>
  </x:tableParts>
</x:worksheet>
</file>

<file path=xl/worksheets/sheet3.xml><?xml version="1.0" encoding="utf-8"?>
<x:worksheet xmlns:x="http://schemas.openxmlformats.org/spreadsheetml/2006/main">
  <x:sheetFormatPr defaultRowHeight="15"/>
  <x:cols>
    <x:col min="1" max="1" width="38" hidden="0" customWidth="1"/>
    <x:col min="2" max="2" width="13" hidden="0" customWidth="1"/>
    <x:col min="3" max="3" width="13" hidden="0" customWidth="1"/>
    <x:col min="4" max="4" width="60" hidden="0" customWidth="1"/>
  </x:cols>
  <x:sheetData>
    <x:row r="1">
      <x:c r="A1" s="94" t="str">
        <x:v>System</x:v>
      </x:c>
      <x:c r="B1" s="94" t="str">
        <x:v>Paper Count</x:v>
      </x:c>
      <x:c r="C1" s="94" t="str">
        <x:v>Coverage</x:v>
      </x:c>
      <x:c r="D1" s="94" t="str">
        <x:v>Papers</x:v>
      </x:c>
    </x:row>
    <x:row r="2">
      <x:c r="A2" s="34" t="str">
        <x:v>Basal ganglia / striatum</x:v>
      </x:c>
      <x:c r="B2" s="69" t="n">
        <x:f>COUNTIF(Connections!$C:$C,A2)</x:f>
        <x:v>9</x:v>
      </x:c>
      <x:c r="C2" s="69" t="str">
        <x:v>High</x:v>
      </x:c>
      <x:c r="D2" s="34" t="str">
        <x:v>EndGame, How Long Is a Thought?, Squirrel, Time, Relevance, PhoneWalletKeys, Weight, WhatchyaDoin, FutureYou</x:v>
      </x:c>
    </x:row>
    <x:row r="3">
      <x:c r="A3" s="34" t="str">
        <x:v>Hippocampus / medial temporal lobe</x:v>
      </x:c>
      <x:c r="B3" s="69" t="n">
        <x:f>COUNTIF(Connections!$C:$C,A3)</x:f>
        <x:v>8</x:v>
      </x:c>
      <x:c r="C3" s="69" t="str">
        <x:v>High</x:v>
      </x:c>
      <x:c r="D3" s="34" t="str">
        <x:v>How Long Is a Thought?, Icarus, Time, Relevance, Pull, PhoneWalletKeys, Weight, FutureYou</x:v>
      </x:c>
    </x:row>
    <x:row r="4">
      <x:c r="A4" s="34" t="str">
        <x:v>dACC / midcingulate cortex</x:v>
      </x:c>
      <x:c r="B4" s="69" t="n">
        <x:f>COUNTIF(Connections!$C:$C,A4)</x:f>
        <x:v>7</x:v>
      </x:c>
      <x:c r="C4" s="69" t="str">
        <x:v>High</x:v>
      </x:c>
      <x:c r="D4" s="34" t="str">
        <x:v>Containment, Squirrel, You Are Here, Push, Weight, WhatchyaDoin, FutureYou</x:v>
      </x:c>
    </x:row>
    <x:row r="5">
      <x:c r="A5" s="34" t="str">
        <x:v>Anterior insula</x:v>
      </x:c>
      <x:c r="B5" s="69" t="n">
        <x:f>COUNTIF(Connections!$C:$C,A5)</x:f>
        <x:v>6</x:v>
      </x:c>
      <x:c r="C5" s="69" t="str">
        <x:v>High</x:v>
      </x:c>
      <x:c r="D5" s="34" t="str">
        <x:v>Containment, Time, You Are Here, Push, FuckYourFeelings, Weight</x:v>
      </x:c>
    </x:row>
    <x:row r="6">
      <x:c r="A6" s="34" t="str">
        <x:v>aPFC / frontopolar cortex</x:v>
      </x:c>
      <x:c r="B6" s="69" t="n">
        <x:f>COUNTIF(Connections!$C:$C,A6)</x:f>
        <x:v>6</x:v>
      </x:c>
      <x:c r="C6" s="69" t="str">
        <x:v>High</x:v>
      </x:c>
      <x:c r="D6" s="34" t="str">
        <x:v>Squirrel, You Are Here, Relevance, Push, Pull, FutureYou</x:v>
      </x:c>
    </x:row>
    <x:row r="7">
      <x:c r="A7" s="34" t="str">
        <x:v>SMA / pre-SMA</x:v>
      </x:c>
      <x:c r="B7" s="69" t="n">
        <x:f>COUNTIF(Connections!$C:$C,A7)</x:f>
        <x:v>6</x:v>
      </x:c>
      <x:c r="C7" s="69" t="str">
        <x:v>High</x:v>
      </x:c>
      <x:c r="D7" s="34" t="str">
        <x:v>EndGame, How Long Is a Thought?, Squirrel, Time, PhoneWalletKeys, WhatchyaDoin</x:v>
      </x:c>
    </x:row>
    <x:row r="8">
      <x:c r="A8" s="34" t="str">
        <x:v>Valuation systems</x:v>
      </x:c>
      <x:c r="B8" s="69" t="n">
        <x:f>COUNTIF(Connections!$C:$C,A8)</x:f>
        <x:v>6</x:v>
      </x:c>
      <x:c r="C8" s="69" t="str">
        <x:v>High</x:v>
      </x:c>
      <x:c r="D8" s="34" t="str">
        <x:v>Icarus, Squirrel, Pull, FuckYourFeelings, Weight, FutureYou</x:v>
      </x:c>
    </x:row>
    <x:row r="9">
      <x:c r="A9" s="34" t="str">
        <x:v>DLPFC</x:v>
      </x:c>
      <x:c r="B9" s="70" t="n">
        <x:f>COUNTIF(Connections!$C:$C,A9)</x:f>
        <x:v>5</x:v>
      </x:c>
      <x:c r="C9" s="70" t="str">
        <x:v>High</x:v>
      </x:c>
      <x:c r="D9" s="34" t="str">
        <x:v>Squirrel, You Are Here, Push, PhoneWalletKeys, FutureYou</x:v>
      </x:c>
    </x:row>
    <x:row r="10">
      <x:c r="A10" s="34" t="str">
        <x:v>Interoceptive systems</x:v>
      </x:c>
      <x:c r="B10" s="70" t="n">
        <x:f>COUNTIF(Connections!$C:$C,A10)</x:f>
        <x:v>5</x:v>
      </x:c>
      <x:c r="C10" s="70" t="str">
        <x:v>High</x:v>
      </x:c>
      <x:c r="D10" s="34" t="str">
        <x:v>Containment, Icarus, Time, FuckYourFeelings, FutureYou</x:v>
      </x:c>
    </x:row>
    <x:row r="11">
      <x:c r="A11" s="34" t="str">
        <x:v>Posterior parietal cortex</x:v>
      </x:c>
      <x:c r="B11" s="70" t="n">
        <x:f>COUNTIF(Connections!$C:$C,A11)</x:f>
        <x:v>5</x:v>
      </x:c>
      <x:c r="C11" s="70" t="str">
        <x:v>High</x:v>
      </x:c>
      <x:c r="D11" s="34" t="str">
        <x:v>EndGame, You Are Here, Push, WhatchyaDoin, FutureYou</x:v>
      </x:c>
    </x:row>
    <x:row r="12">
      <x:c r="A12" s="34" t="str">
        <x:v>Autonomic / arousal systems</x:v>
      </x:c>
      <x:c r="B12" s="70" t="n">
        <x:f>COUNTIF(Connections!$C:$C,A12)</x:f>
        <x:v>4</x:v>
      </x:c>
      <x:c r="C12" s="70" t="str">
        <x:v>Medium</x:v>
      </x:c>
      <x:c r="D12" s="34" t="str">
        <x:v>Containment, Time, FuckYourFeelings, Weight</x:v>
      </x:c>
    </x:row>
    <x:row r="13">
      <x:c r="A13" s="34" t="str">
        <x:v>Default mode network</x:v>
      </x:c>
      <x:c r="B13" s="70" t="n">
        <x:f>COUNTIF(Connections!$C:$C,A13)</x:f>
        <x:v>4</x:v>
      </x:c>
      <x:c r="C13" s="70" t="str">
        <x:v>Medium</x:v>
      </x:c>
      <x:c r="D13" s="34" t="str">
        <x:v>Containment, Pull, Weight, FutureYou</x:v>
      </x:c>
    </x:row>
    <x:row r="14">
      <x:c r="A14" s="34" t="str">
        <x:v>Frontoparietal control network</x:v>
      </x:c>
      <x:c r="B14" s="70" t="n">
        <x:f>COUNTIF(Connections!$C:$C,A14)</x:f>
        <x:v>4</x:v>
      </x:c>
      <x:c r="C14" s="70" t="str">
        <x:v>Medium</x:v>
      </x:c>
      <x:c r="D14" s="34" t="str">
        <x:v>Containment, Squirrel, You Are Here, FutureYou</x:v>
      </x:c>
    </x:row>
    <x:row r="15">
      <x:c r="A15" s="34" t="str">
        <x:v>Prefrontal cortex, general</x:v>
      </x:c>
      <x:c r="B15" s="70" t="n">
        <x:f>COUNTIF(Connections!$C:$C,A15)</x:f>
        <x:v>4</x:v>
      </x:c>
      <x:c r="C15" s="70" t="str">
        <x:v>Medium</x:v>
      </x:c>
      <x:c r="D15" s="34" t="str">
        <x:v>How Long Is a Thought?, Time, Relevance, PhoneWalletKeys</x:v>
      </x:c>
    </x:row>
    <x:row r="16">
      <x:c r="A16" s="34" t="str">
        <x:v>Sensory cortex / sensory systems</x:v>
      </x:c>
      <x:c r="B16" s="70" t="n">
        <x:f>COUNTIF(Connections!$C:$C,A16)</x:f>
        <x:v>4</x:v>
      </x:c>
      <x:c r="C16" s="70" t="str">
        <x:v>Medium</x:v>
      </x:c>
      <x:c r="D16" s="34" t="str">
        <x:v>Containment, Icarus, WhatchyaDoin, FutureYou</x:v>
      </x:c>
    </x:row>
    <x:row r="17">
      <x:c r="A17" s="34" t="str">
        <x:v>Thalamus</x:v>
      </x:c>
      <x:c r="B17" s="70" t="n">
        <x:f>COUNTIF(Connections!$C:$C,A17)</x:f>
        <x:v>4</x:v>
      </x:c>
      <x:c r="C17" s="70" t="str">
        <x:v>Medium</x:v>
      </x:c>
      <x:c r="D17" s="34" t="str">
        <x:v>Containment, Icarus, FuckYourFeelings, FutureYou</x:v>
      </x:c>
    </x:row>
    <x:row r="18">
      <x:c r="A18" s="34" t="str">
        <x:v>vmPFC / OFC</x:v>
      </x:c>
      <x:c r="B18" s="70" t="n">
        <x:f>COUNTIF(Connections!$C:$C,A18)</x:f>
        <x:v>4</x:v>
      </x:c>
      <x:c r="C18" s="70" t="str">
        <x:v>Medium</x:v>
      </x:c>
      <x:c r="D18" s="34" t="str">
        <x:v>Squirrel, FuckYourFeelings, Weight, FutureYou</x:v>
      </x:c>
    </x:row>
    <x:row r="19">
      <x:c r="A19" s="34" t="str">
        <x:v>Cerebellum</x:v>
      </x:c>
      <x:c r="B19" s="70" t="n">
        <x:f>COUNTIF(Connections!$C:$C,A19)</x:f>
        <x:v>3</x:v>
      </x:c>
      <x:c r="C19" s="70" t="str">
        <x:v>Medium</x:v>
      </x:c>
      <x:c r="D19" s="34" t="str">
        <x:v>EndGame, How Long Is a Thought?, Time</x:v>
      </x:c>
    </x:row>
    <x:row r="20">
      <x:c r="A20" s="34" t="str">
        <x:v>Medial prefrontal cortex</x:v>
      </x:c>
      <x:c r="B20" s="71" t="n">
        <x:f>COUNTIF(Connections!$C:$C,A20)</x:f>
        <x:v>3</x:v>
      </x:c>
      <x:c r="C20" s="71" t="str">
        <x:v>Medium</x:v>
      </x:c>
      <x:c r="D20" s="34" t="str">
        <x:v>Pull, Weight, FutureYou</x:v>
      </x:c>
    </x:row>
    <x:row r="21">
      <x:c r="A21" s="34" t="str">
        <x:v>Posterior / mid insula</x:v>
      </x:c>
      <x:c r="B21" s="71" t="n">
        <x:f>COUNTIF(Connections!$C:$C,A21)</x:f>
        <x:v>3</x:v>
      </x:c>
      <x:c r="C21" s="71" t="str">
        <x:v>Medium</x:v>
      </x:c>
      <x:c r="D21" s="34" t="str">
        <x:v>Containment, Time, FuckYourFeelings</x:v>
      </x:c>
    </x:row>
    <x:row r="22">
      <x:c r="A22" s="34" t="str">
        <x:v>Premotor cortex</x:v>
      </x:c>
      <x:c r="B22" s="71" t="n">
        <x:f>COUNTIF(Connections!$C:$C,A22)</x:f>
        <x:v>3</x:v>
      </x:c>
      <x:c r="C22" s="71" t="str">
        <x:v>Medium</x:v>
      </x:c>
      <x:c r="D22" s="34" t="str">
        <x:v>EndGame, PhoneWalletKeys, WhatchyaDoin</x:v>
      </x:c>
    </x:row>
    <x:row r="23">
      <x:c r="A23" s="34" t="str">
        <x:v>ACC</x:v>
      </x:c>
      <x:c r="B23" s="71" t="n">
        <x:f>COUNTIF(Connections!$C:$C,A23)</x:f>
        <x:v>2</x:v>
      </x:c>
      <x:c r="C23" s="71" t="str">
        <x:v>Low</x:v>
      </x:c>
      <x:c r="D23" s="34" t="str">
        <x:v>Time, FuckYourFeelings</x:v>
      </x:c>
    </x:row>
    <x:row r="24">
      <x:c r="A24" s="34" t="str">
        <x:v>Dorsal premotor cortex</x:v>
      </x:c>
      <x:c r="B24" s="71" t="n">
        <x:f>COUNTIF(Connections!$C:$C,A24)</x:f>
        <x:v>2</x:v>
      </x:c>
      <x:c r="C24" s="71" t="str">
        <x:v>Low</x:v>
      </x:c>
      <x:c r="D24" s="34" t="str">
        <x:v>EndGame, WhatchyaDoin</x:v>
      </x:c>
    </x:row>
    <x:row r="25">
      <x:c r="A25" s="34" t="str">
        <x:v>Frontoparietal attention network</x:v>
      </x:c>
      <x:c r="B25" s="72" t="n">
        <x:f>COUNTIF(Connections!$C:$C,A25)</x:f>
        <x:v>2</x:v>
      </x:c>
      <x:c r="C25" s="72" t="str">
        <x:v>Low</x:v>
      </x:c>
      <x:c r="D25" s="34" t="str">
        <x:v>How Long Is a Thought?, FutureYou</x:v>
      </x:c>
    </x:row>
    <x:row r="26">
      <x:c r="A26" s="34" t="str">
        <x:v>Neuromodulatory systems</x:v>
      </x:c>
      <x:c r="B26" s="72" t="n">
        <x:f>COUNTIF(Connections!$C:$C,A26)</x:f>
        <x:v>2</x:v>
      </x:c>
      <x:c r="C26" s="72" t="str">
        <x:v>Low</x:v>
      </x:c>
      <x:c r="D26" s="34" t="str">
        <x:v>Icarus, WhatchyaDoin</x:v>
      </x:c>
    </x:row>
    <x:row r="27">
      <x:c r="A27" s="34" t="str">
        <x:v>Prospective-memory / timing systems</x:v>
      </x:c>
      <x:c r="B27" s="72" t="n">
        <x:f>COUNTIF(Connections!$C:$C,A27)</x:f>
        <x:v>2</x:v>
      </x:c>
      <x:c r="C27" s="72" t="str">
        <x:v>Low</x:v>
      </x:c>
      <x:c r="D27" s="34" t="str">
        <x:v>How Long Is a Thought?, Relevance</x:v>
      </x:c>
    </x:row>
    <x:row r="28">
      <x:c r="A28" s="34" t="str">
        <x:v>TPJ / pSTS</x:v>
      </x:c>
      <x:c r="B28" s="72" t="n">
        <x:f>COUNTIF(Connections!$C:$C,A28)</x:f>
        <x:v>2</x:v>
      </x:c>
      <x:c r="C28" s="72" t="str">
        <x:v>Low</x:v>
      </x:c>
      <x:c r="D28" s="34" t="str">
        <x:v>Weight, FutureYou</x:v>
      </x:c>
    </x:row>
    <x:row r="29">
      <x:c r="A29" s="34" t="str">
        <x:v>Amygdala</x:v>
      </x:c>
      <x:c r="B29" s="72" t="n">
        <x:f>COUNTIF(Connections!$C:$C,A29)</x:f>
        <x:v>1</x:v>
      </x:c>
      <x:c r="C29" s="72" t="str">
        <x:v>Singleton</x:v>
      </x:c>
      <x:c r="D29" s="34" t="str">
        <x:v>FuckYourFeelings</x:v>
      </x:c>
    </x:row>
    <x:row r="30">
      <x:c r="A30" s="34" t="str">
        <x:v>Angular gyrus</x:v>
      </x:c>
      <x:c r="B30" s="72" t="n">
        <x:f>COUNTIF(Connections!$C:$C,A30)</x:f>
        <x:v>1</x:v>
      </x:c>
      <x:c r="C30" s="72" t="str">
        <x:v>Singleton</x:v>
      </x:c>
      <x:c r="D30" s="34" t="str">
        <x:v>Pull</x:v>
      </x:c>
    </x:row>
    <x:row r="31">
      <x:c r="A31" s="34" t="str">
        <x:v>Apical dendrites</x:v>
      </x:c>
      <x:c r="B31" s="72" t="n">
        <x:f>COUNTIF(Connections!$C:$C,A31)</x:f>
        <x:v>1</x:v>
      </x:c>
      <x:c r="C31" s="72" t="str">
        <x:v>Singleton</x:v>
      </x:c>
      <x:c r="D31" s="34" t="str">
        <x:v>Icarus</x:v>
      </x:c>
    </x:row>
    <x:row r="32">
      <x:c r="A32" s="34" t="str">
        <x:v>Association cortex</x:v>
      </x:c>
      <x:c r="B32" s="72" t="n">
        <x:f>COUNTIF(Connections!$C:$C,A32)</x:f>
        <x:v>1</x:v>
      </x:c>
      <x:c r="C32" s="72" t="str">
        <x:v>Singleton</x:v>
      </x:c>
      <x:c r="D32" s="34" t="str">
        <x:v>Icarus</x:v>
      </x:c>
    </x:row>
    <x:row r="33">
      <x:c r="A33" s="34" t="str">
        <x:v>Brainstem</x:v>
      </x:c>
      <x:c r="B33" s="72" t="n">
        <x:f>COUNTIF(Connections!$C:$C,A33)</x:f>
        <x:v>1</x:v>
      </x:c>
      <x:c r="C33" s="72" t="str">
        <x:v>Singleton</x:v>
      </x:c>
      <x:c r="D33" s="34" t="str">
        <x:v>FuckYourFeelings</x:v>
      </x:c>
    </x:row>
    <x:row r="34">
      <x:c r="A34" s="34" t="str">
        <x:v>Cardiac systems</x:v>
      </x:c>
      <x:c r="B34" s="72" t="n">
        <x:f>COUNTIF(Connections!$C:$C,A34)</x:f>
        <x:v>1</x:v>
      </x:c>
      <x:c r="C34" s="72" t="str">
        <x:v>Singleton</x:v>
      </x:c>
      <x:c r="D34" s="34" t="str">
        <x:v>Time</x:v>
      </x:c>
    </x:row>
    <x:row r="35">
      <x:c r="A35" s="34" t="str">
        <x:v>Caudate</x:v>
      </x:c>
      <x:c r="B35" s="72" t="n">
        <x:f>COUNTIF(Connections!$C:$C,A35)</x:f>
        <x:v>1</x:v>
      </x:c>
      <x:c r="C35" s="72" t="str">
        <x:v>Singleton</x:v>
      </x:c>
      <x:c r="D35" s="34" t="str">
        <x:v>PhoneWalletKeys</x:v>
      </x:c>
    </x:row>
    <x:row r="36">
      <x:c r="A36" s="34" t="str">
        <x:v>Frontostriatal systems</x:v>
      </x:c>
      <x:c r="B36" s="72" t="n">
        <x:f>COUNTIF(Connections!$C:$C,A36)</x:f>
        <x:v>1</x:v>
      </x:c>
      <x:c r="C36" s="72" t="str">
        <x:v>Singleton</x:v>
      </x:c>
      <x:c r="D36" s="34" t="str">
        <x:v>Push</x:v>
      </x:c>
    </x:row>
    <x:row r="37">
      <x:c r="A37" s="34" t="str">
        <x:v>Gene-regulatory / plasticity systems</x:v>
      </x:c>
      <x:c r="B37" s="72" t="n">
        <x:f>COUNTIF(Connections!$C:$C,A37)</x:f>
        <x:v>1</x:v>
      </x:c>
      <x:c r="C37" s="72" t="str">
        <x:v>Singleton</x:v>
      </x:c>
      <x:c r="D37" s="34" t="str">
        <x:v>Icarus</x:v>
      </x:c>
    </x:row>
    <x:row r="38">
      <x:c r="A38" s="34" t="str">
        <x:v>Higher-order thalamus</x:v>
      </x:c>
      <x:c r="B38" s="72" t="n">
        <x:f>COUNTIF(Connections!$C:$C,A38)</x:f>
        <x:v>1</x:v>
      </x:c>
      <x:c r="C38" s="72" t="str">
        <x:v>Singleton</x:v>
      </x:c>
      <x:c r="D38" s="34" t="str">
        <x:v>Icarus</x:v>
      </x:c>
    </x:row>
    <x:row r="39">
      <x:c r="A39" s="34" t="str">
        <x:v>Hypothalamus</x:v>
      </x:c>
      <x:c r="B39" s="72" t="n">
        <x:f>COUNTIF(Connections!$C:$C,A39)</x:f>
        <x:v>1</x:v>
      </x:c>
      <x:c r="C39" s="72" t="str">
        <x:v>Singleton</x:v>
      </x:c>
      <x:c r="D39" s="34" t="str">
        <x:v>FuckYourFeelings</x:v>
      </x:c>
    </x:row>
    <x:row r="40">
      <x:c r="A40" s="34" t="str">
        <x:v>Lateral / anterior prefrontal cortex</x:v>
      </x:c>
      <x:c r="B40" s="72" t="n">
        <x:f>COUNTIF(Connections!$C:$C,A40)</x:f>
        <x:v>1</x:v>
      </x:c>
      <x:c r="C40" s="72" t="str">
        <x:v>Singleton</x:v>
      </x:c>
      <x:c r="D40" s="34" t="str">
        <x:v>Pull</x:v>
      </x:c>
    </x:row>
    <x:row r="41">
      <x:c r="A41" s="34" t="str">
        <x:v>Layer-5 pyramidal neurons</x:v>
      </x:c>
      <x:c r="B41" s="72" t="n">
        <x:f>COUNTIF(Connections!$C:$C,A41)</x:f>
        <x:v>1</x:v>
      </x:c>
      <x:c r="C41" s="72" t="str">
        <x:v>Singleton</x:v>
      </x:c>
      <x:c r="D41" s="34" t="str">
        <x:v>Icarus</x:v>
      </x:c>
    </x:row>
    <x:row r="42">
      <x:c r="A42" s="34" t="str">
        <x:v>Locus coeruleus / noradrenergic system</x:v>
      </x:c>
      <x:c r="B42" s="72" t="n">
        <x:f>COUNTIF(Connections!$C:$C,A42)</x:f>
        <x:v>1</x:v>
      </x:c>
      <x:c r="C42" s="72" t="str">
        <x:v>Singleton</x:v>
      </x:c>
      <x:c r="D42" s="34" t="str">
        <x:v>WhatchyaDoin</x:v>
      </x:c>
    </x:row>
    <x:row r="43">
      <x:c r="A43" s="34" t="str">
        <x:v>Motor cortex</x:v>
      </x:c>
      <x:c r="B43" s="72" t="n">
        <x:f>COUNTIF(Connections!$C:$C,A43)</x:f>
        <x:v>1</x:v>
      </x:c>
      <x:c r="C43" s="72" t="str">
        <x:v>Singleton</x:v>
      </x:c>
      <x:c r="D43" s="34" t="str">
        <x:v>EndGame</x:v>
      </x:c>
    </x:row>
    <x:row r="44">
      <x:c r="A44" s="34" t="str">
        <x:v>PCC / precuneus</x:v>
      </x:c>
      <x:c r="B44" s="72" t="n">
        <x:f>COUNTIF(Connections!$C:$C,A44)</x:f>
        <x:v>1</x:v>
      </x:c>
      <x:c r="C44" s="72" t="str">
        <x:v>Singleton</x:v>
      </x:c>
      <x:c r="D44" s="34" t="str">
        <x:v>Pull</x:v>
      </x:c>
    </x:row>
    <x:row r="45">
      <x:c r="A45" s="34" t="str">
        <x:v>Substantia nigra dopaminergic system</x:v>
      </x:c>
      <x:c r="B45" s="72" t="n">
        <x:f>COUNTIF(Connections!$C:$C,A45)</x:f>
        <x:v>1</x:v>
      </x:c>
      <x:c r="C45" s="72" t="str">
        <x:v>Singleton</x:v>
      </x:c>
      <x:c r="D45" s="34" t="str">
        <x:v>WhatchyaDoin</x:v>
      </x:c>
    </x:row>
    <x:row r="46">
      <x:c r="A46" s="34" t="str">
        <x:v>Thalamocortical circuits</x:v>
      </x:c>
      <x:c r="B46" s="34" t="n">
        <x:f>COUNTIF(Connections!$C:$C,A46)</x:f>
        <x:v>1</x:v>
      </x:c>
      <x:c r="C46" s="34" t="str">
        <x:v>Singleton</x:v>
      </x:c>
      <x:c r="D46" s="34" t="str">
        <x:v>Icarus</x:v>
      </x:c>
    </x:row>
    <x:row r="47">
      <x:c r="A47" s="34" t="str">
        <x:v>Ventral striatum</x:v>
      </x:c>
      <x:c r="B47" s="34" t="n">
        <x:f>COUNTIF(Connections!$C:$C,A47)</x:f>
        <x:v>1</x:v>
      </x:c>
      <x:c r="C47" s="34" t="str">
        <x:v>Singleton</x:v>
      </x:c>
      <x:c r="D47" s="34" t="str">
        <x:v>Weight</x:v>
      </x:c>
    </x:row>
  </x:sheetData>
  <x:pageMargins left="0.7" right="0.7" top="0.75" bottom="0.75" header="0.3" footer="0.3"/>
  <x:tableParts count="1">
    <x:tablePart xmlns:r="http://schemas.openxmlformats.org/officeDocument/2006/relationships" r:id="R5209ce3c71fc47ea"/>
  </x:tableParts>
</x:worksheet>
</file>

<file path=xl/worksheets/sheet4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28" hidden="0" customWidth="1"/>
    <x:col min="3" max="3" width="38" hidden="0" customWidth="1"/>
    <x:col min="4" max="4" width="12" hidden="0" customWidth="1"/>
  </x:cols>
  <x:sheetData>
    <x:row r="1">
      <x:c r="A1" s="84" t="str">
        <x:v>Phase</x:v>
      </x:c>
      <x:c r="B1" s="84" t="str">
        <x:v>Paper</x:v>
      </x:c>
      <x:c r="C1" s="84" t="str">
        <x:v>System</x:v>
      </x:c>
      <x:c r="D1" s="84" t="str">
        <x:v>Edge ID</x:v>
      </x:c>
    </x:row>
    <x:row r="2">
      <x:c r="A2" s="86" t="str">
        <x:v>Foundation</x:v>
      </x:c>
      <x:c r="B2" s="86" t="str">
        <x:v>Containment</x:v>
      </x:c>
      <x:c r="C2" s="86" t="str">
        <x:v>Anterior insula</x:v>
      </x:c>
      <x:c r="D2" s="86" t="str">
        <x:v>E001</x:v>
      </x:c>
    </x:row>
    <x:row r="3">
      <x:c r="A3" s="86" t="str">
        <x:v>Foundation</x:v>
      </x:c>
      <x:c r="B3" s="86" t="str">
        <x:v>Containment</x:v>
      </x:c>
      <x:c r="C3" s="86" t="str">
        <x:v>Posterior / mid insula</x:v>
      </x:c>
      <x:c r="D3" s="86" t="str">
        <x:v>E002</x:v>
      </x:c>
    </x:row>
    <x:row r="4">
      <x:c r="A4" s="86" t="str">
        <x:v>Foundation</x:v>
      </x:c>
      <x:c r="B4" s="86" t="str">
        <x:v>Containment</x:v>
      </x:c>
      <x:c r="C4" s="86" t="str">
        <x:v>dACC / midcingulate cortex</x:v>
      </x:c>
      <x:c r="D4" s="86" t="str">
        <x:v>E003</x:v>
      </x:c>
    </x:row>
    <x:row r="5">
      <x:c r="A5" s="86" t="str">
        <x:v>Foundation</x:v>
      </x:c>
      <x:c r="B5" s="86" t="str">
        <x:v>Containment</x:v>
      </x:c>
      <x:c r="C5" s="86" t="str">
        <x:v>Autonomic / arousal systems</x:v>
      </x:c>
      <x:c r="D5" s="86" t="str">
        <x:v>E004</x:v>
      </x:c>
    </x:row>
    <x:row r="6">
      <x:c r="A6" s="86" t="str">
        <x:v>Foundation</x:v>
      </x:c>
      <x:c r="B6" s="86" t="str">
        <x:v>Containment</x:v>
      </x:c>
      <x:c r="C6" s="86" t="str">
        <x:v>Frontoparietal control network</x:v>
      </x:c>
      <x:c r="D6" s="86" t="str">
        <x:v>E005</x:v>
      </x:c>
    </x:row>
    <x:row r="7">
      <x:c r="A7" s="86" t="str">
        <x:v>Foundation</x:v>
      </x:c>
      <x:c r="B7" s="86" t="str">
        <x:v>Containment</x:v>
      </x:c>
      <x:c r="C7" s="86" t="str">
        <x:v>Default mode network</x:v>
      </x:c>
      <x:c r="D7" s="86" t="str">
        <x:v>E006</x:v>
      </x:c>
    </x:row>
    <x:row r="8">
      <x:c r="A8" s="86" t="str">
        <x:v>Foundation</x:v>
      </x:c>
      <x:c r="B8" s="86" t="str">
        <x:v>Containment</x:v>
      </x:c>
      <x:c r="C8" s="86" t="str">
        <x:v>Thalamus</x:v>
      </x:c>
      <x:c r="D8" s="86" t="str">
        <x:v>E007</x:v>
      </x:c>
    </x:row>
    <x:row r="9">
      <x:c r="A9" s="86" t="str">
        <x:v>Foundation</x:v>
      </x:c>
      <x:c r="B9" s="86" t="str">
        <x:v>Containment</x:v>
      </x:c>
      <x:c r="C9" s="86" t="str">
        <x:v>Sensory cortex / sensory systems</x:v>
      </x:c>
      <x:c r="D9" s="86" t="str">
        <x:v>E008</x:v>
      </x:c>
    </x:row>
    <x:row r="10">
      <x:c r="A10" s="86" t="str">
        <x:v>Foundation</x:v>
      </x:c>
      <x:c r="B10" s="86" t="str">
        <x:v>Containment</x:v>
      </x:c>
      <x:c r="C10" s="86" t="str">
        <x:v>Interoceptive systems</x:v>
      </x:c>
      <x:c r="D10" s="86" t="str">
        <x:v>E009</x:v>
      </x:c>
    </x:row>
    <x:row r="11">
      <x:c r="A11" s="86" t="str">
        <x:v>Foundation</x:v>
      </x:c>
      <x:c r="B11" s="86" t="str">
        <x:v>EndGame</x:v>
      </x:c>
      <x:c r="C11" s="86" t="str">
        <x:v>Dorsal premotor cortex</x:v>
      </x:c>
      <x:c r="D11" s="86" t="str">
        <x:v>E010</x:v>
      </x:c>
    </x:row>
    <x:row r="12">
      <x:c r="A12" s="86" t="str">
        <x:v>Foundation</x:v>
      </x:c>
      <x:c r="B12" s="86" t="str">
        <x:v>EndGame</x:v>
      </x:c>
      <x:c r="C12" s="86" t="str">
        <x:v>SMA / pre-SMA</x:v>
      </x:c>
      <x:c r="D12" s="86" t="str">
        <x:v>E011</x:v>
      </x:c>
    </x:row>
    <x:row r="13">
      <x:c r="A13" s="86" t="str">
        <x:v>Foundation</x:v>
      </x:c>
      <x:c r="B13" s="86" t="str">
        <x:v>EndGame</x:v>
      </x:c>
      <x:c r="C13" s="86" t="str">
        <x:v>Motor cortex</x:v>
      </x:c>
      <x:c r="D13" s="86" t="str">
        <x:v>E012</x:v>
      </x:c>
    </x:row>
    <x:row r="14">
      <x:c r="A14" s="86" t="str">
        <x:v>Foundation</x:v>
      </x:c>
      <x:c r="B14" s="86" t="str">
        <x:v>EndGame</x:v>
      </x:c>
      <x:c r="C14" s="86" t="str">
        <x:v>Posterior parietal cortex</x:v>
      </x:c>
      <x:c r="D14" s="86" t="str">
        <x:v>E013</x:v>
      </x:c>
    </x:row>
    <x:row r="15">
      <x:c r="A15" s="86" t="str">
        <x:v>Foundation</x:v>
      </x:c>
      <x:c r="B15" s="86" t="str">
        <x:v>EndGame</x:v>
      </x:c>
      <x:c r="C15" s="86" t="str">
        <x:v>Basal ganglia / striatum</x:v>
      </x:c>
      <x:c r="D15" s="86" t="str">
        <x:v>E014</x:v>
      </x:c>
    </x:row>
    <x:row r="16">
      <x:c r="A16" s="86" t="str">
        <x:v>Foundation</x:v>
      </x:c>
      <x:c r="B16" s="86" t="str">
        <x:v>EndGame</x:v>
      </x:c>
      <x:c r="C16" s="86" t="str">
        <x:v>Cerebellum</x:v>
      </x:c>
      <x:c r="D16" s="86" t="str">
        <x:v>E015</x:v>
      </x:c>
    </x:row>
    <x:row r="17">
      <x:c r="A17" s="86" t="str">
        <x:v>Foundation</x:v>
      </x:c>
      <x:c r="B17" s="86" t="str">
        <x:v>EndGame</x:v>
      </x:c>
      <x:c r="C17" s="86" t="str">
        <x:v>Premotor cortex</x:v>
      </x:c>
      <x:c r="D17" s="86" t="str">
        <x:v>E016</x:v>
      </x:c>
    </x:row>
    <x:row r="18">
      <x:c r="A18" s="86" t="str">
        <x:v>Foundation</x:v>
      </x:c>
      <x:c r="B18" s="86" t="str">
        <x:v>How Long Is a Thought?</x:v>
      </x:c>
      <x:c r="C18" s="86" t="str">
        <x:v>Hippocampus / medial temporal lobe</x:v>
      </x:c>
      <x:c r="D18" s="86" t="str">
        <x:v>E017</x:v>
      </x:c>
    </x:row>
    <x:row r="19">
      <x:c r="A19" s="86" t="str">
        <x:v>Foundation</x:v>
      </x:c>
      <x:c r="B19" s="86" t="str">
        <x:v>How Long Is a Thought?</x:v>
      </x:c>
      <x:c r="C19" s="86" t="str">
        <x:v>Prefrontal cortex, general</x:v>
      </x:c>
      <x:c r="D19" s="86" t="str">
        <x:v>E018</x:v>
      </x:c>
    </x:row>
    <x:row r="20">
      <x:c r="A20" s="86" t="str">
        <x:v>Foundation</x:v>
      </x:c>
      <x:c r="B20" s="86" t="str">
        <x:v>How Long Is a Thought?</x:v>
      </x:c>
      <x:c r="C20" s="86" t="str">
        <x:v>Frontoparietal attention network</x:v>
      </x:c>
      <x:c r="D20" s="86" t="str">
        <x:v>E019</x:v>
      </x:c>
    </x:row>
    <x:row r="21">
      <x:c r="A21" s="86" t="str">
        <x:v>Foundation</x:v>
      </x:c>
      <x:c r="B21" s="86" t="str">
        <x:v>How Long Is a Thought?</x:v>
      </x:c>
      <x:c r="C21" s="86" t="str">
        <x:v>Basal ganglia / striatum</x:v>
      </x:c>
      <x:c r="D21" s="86" t="str">
        <x:v>E020</x:v>
      </x:c>
    </x:row>
    <x:row r="22">
      <x:c r="A22" s="86" t="str">
        <x:v>Foundation</x:v>
      </x:c>
      <x:c r="B22" s="86" t="str">
        <x:v>How Long Is a Thought?</x:v>
      </x:c>
      <x:c r="C22" s="86" t="str">
        <x:v>SMA / pre-SMA</x:v>
      </x:c>
      <x:c r="D22" s="86" t="str">
        <x:v>E021</x:v>
      </x:c>
    </x:row>
    <x:row r="23">
      <x:c r="A23" s="86" t="str">
        <x:v>Foundation</x:v>
      </x:c>
      <x:c r="B23" s="86" t="str">
        <x:v>How Long Is a Thought?</x:v>
      </x:c>
      <x:c r="C23" s="86" t="str">
        <x:v>Cerebellum</x:v>
      </x:c>
      <x:c r="D23" s="86" t="str">
        <x:v>E022</x:v>
      </x:c>
    </x:row>
    <x:row r="24">
      <x:c r="A24" s="86" t="str">
        <x:v>Foundation</x:v>
      </x:c>
      <x:c r="B24" s="86" t="str">
        <x:v>How Long Is a Thought?</x:v>
      </x:c>
      <x:c r="C24" s="86" t="str">
        <x:v>Prospective-memory / timing systems</x:v>
      </x:c>
      <x:c r="D24" s="86" t="str">
        <x:v>E023</x:v>
      </x:c>
    </x:row>
    <x:row r="25">
      <x:c r="A25" s="86" t="str">
        <x:v>Foundation</x:v>
      </x:c>
      <x:c r="B25" s="86" t="str">
        <x:v>Icarus</x:v>
      </x:c>
      <x:c r="C25" s="86" t="str">
        <x:v>Layer-5 pyramidal neurons</x:v>
      </x:c>
      <x:c r="D25" s="86" t="str">
        <x:v>E024</x:v>
      </x:c>
    </x:row>
    <x:row r="26">
      <x:c r="A26" s="86" t="str">
        <x:v>Foundation</x:v>
      </x:c>
      <x:c r="B26" s="86" t="str">
        <x:v>Icarus</x:v>
      </x:c>
      <x:c r="C26" s="86" t="str">
        <x:v>Apical dendrites</x:v>
      </x:c>
      <x:c r="D26" s="86" t="str">
        <x:v>E025</x:v>
      </x:c>
    </x:row>
    <x:row r="27">
      <x:c r="A27" s="86" t="str">
        <x:v>Foundation</x:v>
      </x:c>
      <x:c r="B27" s="86" t="str">
        <x:v>Icarus</x:v>
      </x:c>
      <x:c r="C27" s="86" t="str">
        <x:v>Higher-order thalamus</x:v>
      </x:c>
      <x:c r="D27" s="86" t="str">
        <x:v>E026</x:v>
      </x:c>
    </x:row>
    <x:row r="28">
      <x:c r="A28" s="86" t="str">
        <x:v>Foundation</x:v>
      </x:c>
      <x:c r="B28" s="86" t="str">
        <x:v>Icarus</x:v>
      </x:c>
      <x:c r="C28" s="86" t="str">
        <x:v>Thalamocortical circuits</x:v>
      </x:c>
      <x:c r="D28" s="86" t="str">
        <x:v>E027</x:v>
      </x:c>
    </x:row>
    <x:row r="29">
      <x:c r="A29" s="86" t="str">
        <x:v>Foundation</x:v>
      </x:c>
      <x:c r="B29" s="86" t="str">
        <x:v>Icarus</x:v>
      </x:c>
      <x:c r="C29" s="86" t="str">
        <x:v>Association cortex</x:v>
      </x:c>
      <x:c r="D29" s="86" t="str">
        <x:v>E028</x:v>
      </x:c>
    </x:row>
    <x:row r="30">
      <x:c r="A30" s="86" t="str">
        <x:v>Foundation</x:v>
      </x:c>
      <x:c r="B30" s="86" t="str">
        <x:v>Icarus</x:v>
      </x:c>
      <x:c r="C30" s="86" t="str">
        <x:v>Sensory cortex / sensory systems</x:v>
      </x:c>
      <x:c r="D30" s="86" t="str">
        <x:v>E029</x:v>
      </x:c>
    </x:row>
    <x:row r="31">
      <x:c r="A31" s="86" t="str">
        <x:v>Foundation</x:v>
      </x:c>
      <x:c r="B31" s="86" t="str">
        <x:v>Icarus</x:v>
      </x:c>
      <x:c r="C31" s="86" t="str">
        <x:v>Hippocampus / medial temporal lobe</x:v>
      </x:c>
      <x:c r="D31" s="86" t="str">
        <x:v>E030</x:v>
      </x:c>
    </x:row>
    <x:row r="32">
      <x:c r="A32" s="86" t="str">
        <x:v>Foundation</x:v>
      </x:c>
      <x:c r="B32" s="86" t="str">
        <x:v>Icarus</x:v>
      </x:c>
      <x:c r="C32" s="86" t="str">
        <x:v>Neuromodulatory systems</x:v>
      </x:c>
      <x:c r="D32" s="86" t="str">
        <x:v>E031</x:v>
      </x:c>
    </x:row>
    <x:row r="33">
      <x:c r="A33" s="86" t="str">
        <x:v>Foundation</x:v>
      </x:c>
      <x:c r="B33" s="86" t="str">
        <x:v>Icarus</x:v>
      </x:c>
      <x:c r="C33" s="86" t="str">
        <x:v>Valuation systems</x:v>
      </x:c>
      <x:c r="D33" s="86" t="str">
        <x:v>E032</x:v>
      </x:c>
    </x:row>
    <x:row r="34">
      <x:c r="A34" s="86" t="str">
        <x:v>Foundation</x:v>
      </x:c>
      <x:c r="B34" s="86" t="str">
        <x:v>Icarus</x:v>
      </x:c>
      <x:c r="C34" s="86" t="str">
        <x:v>Interoceptive systems</x:v>
      </x:c>
      <x:c r="D34" s="86" t="str">
        <x:v>E033</x:v>
      </x:c>
    </x:row>
    <x:row r="35">
      <x:c r="A35" s="86" t="str">
        <x:v>Foundation</x:v>
      </x:c>
      <x:c r="B35" s="86" t="str">
        <x:v>Icarus</x:v>
      </x:c>
      <x:c r="C35" s="86" t="str">
        <x:v>Gene-regulatory / plasticity systems</x:v>
      </x:c>
      <x:c r="D35" s="86" t="str">
        <x:v>E034</x:v>
      </x:c>
    </x:row>
    <x:row r="36">
      <x:c r="A36" s="86" t="str">
        <x:v>Foundation</x:v>
      </x:c>
      <x:c r="B36" s="86" t="str">
        <x:v>Icarus</x:v>
      </x:c>
      <x:c r="C36" s="86" t="str">
        <x:v>Thalamus</x:v>
      </x:c>
      <x:c r="D36" s="86" t="str">
        <x:v>E035</x:v>
      </x:c>
    </x:row>
    <x:row r="37">
      <x:c r="A37" s="86" t="str">
        <x:v>Foundation</x:v>
      </x:c>
      <x:c r="B37" s="86" t="str">
        <x:v>Squirrel</x:v>
      </x:c>
      <x:c r="C37" s="86" t="str">
        <x:v>DLPFC</x:v>
      </x:c>
      <x:c r="D37" s="86" t="str">
        <x:v>E036</x:v>
      </x:c>
    </x:row>
    <x:row r="38">
      <x:c r="A38" s="86" t="str">
        <x:v>Foundation</x:v>
      </x:c>
      <x:c r="B38" s="86" t="str">
        <x:v>Squirrel</x:v>
      </x:c>
      <x:c r="C38" s="86" t="str">
        <x:v>aPFC / frontopolar cortex</x:v>
      </x:c>
      <x:c r="D38" s="86" t="str">
        <x:v>E037</x:v>
      </x:c>
    </x:row>
    <x:row r="39">
      <x:c r="A39" s="86" t="str">
        <x:v>Foundation</x:v>
      </x:c>
      <x:c r="B39" s="86" t="str">
        <x:v>Squirrel</x:v>
      </x:c>
      <x:c r="C39" s="86" t="str">
        <x:v>vmPFC / OFC</x:v>
      </x:c>
      <x:c r="D39" s="86" t="str">
        <x:v>E038</x:v>
      </x:c>
    </x:row>
    <x:row r="40">
      <x:c r="A40" s="86" t="str">
        <x:v>Foundation</x:v>
      </x:c>
      <x:c r="B40" s="86" t="str">
        <x:v>Squirrel</x:v>
      </x:c>
      <x:c r="C40" s="86" t="str">
        <x:v>dACC / midcingulate cortex</x:v>
      </x:c>
      <x:c r="D40" s="86" t="str">
        <x:v>E039</x:v>
      </x:c>
    </x:row>
    <x:row r="41">
      <x:c r="A41" s="86" t="str">
        <x:v>Foundation</x:v>
      </x:c>
      <x:c r="B41" s="86" t="str">
        <x:v>Squirrel</x:v>
      </x:c>
      <x:c r="C41" s="86" t="str">
        <x:v>Basal ganglia / striatum</x:v>
      </x:c>
      <x:c r="D41" s="86" t="str">
        <x:v>E040</x:v>
      </x:c>
    </x:row>
    <x:row r="42">
      <x:c r="A42" s="86" t="str">
        <x:v>Foundation</x:v>
      </x:c>
      <x:c r="B42" s="86" t="str">
        <x:v>Squirrel</x:v>
      </x:c>
      <x:c r="C42" s="86" t="str">
        <x:v>SMA / pre-SMA</x:v>
      </x:c>
      <x:c r="D42" s="86" t="str">
        <x:v>E041</x:v>
      </x:c>
    </x:row>
    <x:row r="43">
      <x:c r="A43" s="86" t="str">
        <x:v>Foundation</x:v>
      </x:c>
      <x:c r="B43" s="86" t="str">
        <x:v>Squirrel</x:v>
      </x:c>
      <x:c r="C43" s="86" t="str">
        <x:v>Frontoparietal control network</x:v>
      </x:c>
      <x:c r="D43" s="86" t="str">
        <x:v>E042</x:v>
      </x:c>
    </x:row>
    <x:row r="44">
      <x:c r="A44" s="86" t="str">
        <x:v>Foundation</x:v>
      </x:c>
      <x:c r="B44" s="86" t="str">
        <x:v>Squirrel</x:v>
      </x:c>
      <x:c r="C44" s="86" t="str">
        <x:v>Valuation systems</x:v>
      </x:c>
      <x:c r="D44" s="86" t="str">
        <x:v>E043</x:v>
      </x:c>
    </x:row>
    <x:row r="45">
      <x:c r="A45" s="86" t="str">
        <x:v>Foundation</x:v>
      </x:c>
      <x:c r="B45" s="86" t="str">
        <x:v>Time</x:v>
      </x:c>
      <x:c r="C45" s="86" t="str">
        <x:v>Anterior insula</x:v>
      </x:c>
      <x:c r="D45" s="86" t="str">
        <x:v>E044</x:v>
      </x:c>
    </x:row>
    <x:row r="46">
      <x:c r="A46" s="86" t="str">
        <x:v>Foundation</x:v>
      </x:c>
      <x:c r="B46" s="86" t="str">
        <x:v>Time</x:v>
      </x:c>
      <x:c r="C46" s="86" t="str">
        <x:v>Posterior / mid insula</x:v>
      </x:c>
      <x:c r="D46" s="86" t="str">
        <x:v>E045</x:v>
      </x:c>
    </x:row>
    <x:row r="47">
      <x:c r="A47" s="86" t="str">
        <x:v>Foundation</x:v>
      </x:c>
      <x:c r="B47" s="86" t="str">
        <x:v>Time</x:v>
      </x:c>
      <x:c r="C47" s="86" t="str">
        <x:v>ACC</x:v>
      </x:c>
      <x:c r="D47" s="86" t="str">
        <x:v>E046</x:v>
      </x:c>
    </x:row>
    <x:row r="48">
      <x:c r="A48" s="86" t="str">
        <x:v>Foundation</x:v>
      </x:c>
      <x:c r="B48" s="86" t="str">
        <x:v>Time</x:v>
      </x:c>
      <x:c r="C48" s="86" t="str">
        <x:v>Hippocampus / medial temporal lobe</x:v>
      </x:c>
      <x:c r="D48" s="86" t="str">
        <x:v>E047</x:v>
      </x:c>
    </x:row>
    <x:row r="49">
      <x:c r="A49" s="86" t="str">
        <x:v>Foundation</x:v>
      </x:c>
      <x:c r="B49" s="86" t="str">
        <x:v>Time</x:v>
      </x:c>
      <x:c r="C49" s="86" t="str">
        <x:v>Prefrontal cortex, general</x:v>
      </x:c>
      <x:c r="D49" s="86" t="str">
        <x:v>E048</x:v>
      </x:c>
    </x:row>
    <x:row r="50">
      <x:c r="A50" s="86" t="str">
        <x:v>Foundation</x:v>
      </x:c>
      <x:c r="B50" s="86" t="str">
        <x:v>Time</x:v>
      </x:c>
      <x:c r="C50" s="86" t="str">
        <x:v>SMA / pre-SMA</x:v>
      </x:c>
      <x:c r="D50" s="86" t="str">
        <x:v>E049</x:v>
      </x:c>
    </x:row>
    <x:row r="51">
      <x:c r="A51" s="86" t="str">
        <x:v>Foundation</x:v>
      </x:c>
      <x:c r="B51" s="86" t="str">
        <x:v>Time</x:v>
      </x:c>
      <x:c r="C51" s="86" t="str">
        <x:v>Basal ganglia / striatum</x:v>
      </x:c>
      <x:c r="D51" s="86" t="str">
        <x:v>E050</x:v>
      </x:c>
    </x:row>
    <x:row r="52">
      <x:c r="A52" s="86" t="str">
        <x:v>Foundation</x:v>
      </x:c>
      <x:c r="B52" s="86" t="str">
        <x:v>Time</x:v>
      </x:c>
      <x:c r="C52" s="86" t="str">
        <x:v>Cerebellum</x:v>
      </x:c>
      <x:c r="D52" s="86" t="str">
        <x:v>E051</x:v>
      </x:c>
    </x:row>
    <x:row r="53">
      <x:c r="A53" s="86" t="str">
        <x:v>Foundation</x:v>
      </x:c>
      <x:c r="B53" s="86" t="str">
        <x:v>Time</x:v>
      </x:c>
      <x:c r="C53" s="86" t="str">
        <x:v>Cardiac systems</x:v>
      </x:c>
      <x:c r="D53" s="86" t="str">
        <x:v>E052</x:v>
      </x:c>
    </x:row>
    <x:row r="54">
      <x:c r="A54" s="86" t="str">
        <x:v>Foundation</x:v>
      </x:c>
      <x:c r="B54" s="86" t="str">
        <x:v>Time</x:v>
      </x:c>
      <x:c r="C54" s="86" t="str">
        <x:v>Interoceptive systems</x:v>
      </x:c>
      <x:c r="D54" s="86" t="str">
        <x:v>E053</x:v>
      </x:c>
    </x:row>
    <x:row r="55">
      <x:c r="A55" s="86" t="str">
        <x:v>Foundation</x:v>
      </x:c>
      <x:c r="B55" s="86" t="str">
        <x:v>Time</x:v>
      </x:c>
      <x:c r="C55" s="86" t="str">
        <x:v>Autonomic / arousal systems</x:v>
      </x:c>
      <x:c r="D55" s="86" t="str">
        <x:v>E054</x:v>
      </x:c>
    </x:row>
    <x:row r="56">
      <x:c r="A56" s="86" t="str">
        <x:v>Foundation</x:v>
      </x:c>
      <x:c r="B56" s="86" t="str">
        <x:v>You Are Here</x:v>
      </x:c>
      <x:c r="C56" s="86" t="str">
        <x:v>DLPFC</x:v>
      </x:c>
      <x:c r="D56" s="86" t="str">
        <x:v>E055</x:v>
      </x:c>
    </x:row>
    <x:row r="57">
      <x:c r="A57" s="86" t="str">
        <x:v>Foundation</x:v>
      </x:c>
      <x:c r="B57" s="86" t="str">
        <x:v>You Are Here</x:v>
      </x:c>
      <x:c r="C57" s="86" t="str">
        <x:v>aPFC / frontopolar cortex</x:v>
      </x:c>
      <x:c r="D57" s="86" t="str">
        <x:v>E056</x:v>
      </x:c>
    </x:row>
    <x:row r="58">
      <x:c r="A58" s="86" t="str">
        <x:v>Foundation</x:v>
      </x:c>
      <x:c r="B58" s="86" t="str">
        <x:v>You Are Here</x:v>
      </x:c>
      <x:c r="C58" s="86" t="str">
        <x:v>Posterior parietal cortex</x:v>
      </x:c>
      <x:c r="D58" s="86" t="str">
        <x:v>E057</x:v>
      </x:c>
    </x:row>
    <x:row r="59">
      <x:c r="A59" s="86" t="str">
        <x:v>Foundation</x:v>
      </x:c>
      <x:c r="B59" s="86" t="str">
        <x:v>You Are Here</x:v>
      </x:c>
      <x:c r="C59" s="86" t="str">
        <x:v>dACC / midcingulate cortex</x:v>
      </x:c>
      <x:c r="D59" s="86" t="str">
        <x:v>E058</x:v>
      </x:c>
    </x:row>
    <x:row r="60">
      <x:c r="A60" s="86" t="str">
        <x:v>Foundation</x:v>
      </x:c>
      <x:c r="B60" s="86" t="str">
        <x:v>You Are Here</x:v>
      </x:c>
      <x:c r="C60" s="86" t="str">
        <x:v>Anterior insula</x:v>
      </x:c>
      <x:c r="D60" s="86" t="str">
        <x:v>E059</x:v>
      </x:c>
    </x:row>
    <x:row r="61">
      <x:c r="A61" s="86" t="str">
        <x:v>Foundation</x:v>
      </x:c>
      <x:c r="B61" s="86" t="str">
        <x:v>You Are Here</x:v>
      </x:c>
      <x:c r="C61" s="86" t="str">
        <x:v>Frontoparietal control network</x:v>
      </x:c>
      <x:c r="D61" s="86" t="str">
        <x:v>E060</x:v>
      </x:c>
    </x:row>
    <x:row r="62">
      <x:c r="A62" s="88" t="str">
        <x:v>Construction</x:v>
      </x:c>
      <x:c r="B62" s="88" t="str">
        <x:v>Relevance</x:v>
      </x:c>
      <x:c r="C62" s="88" t="str">
        <x:v>Hippocampus / medial temporal lobe</x:v>
      </x:c>
      <x:c r="D62" s="88" t="str">
        <x:v>E061</x:v>
      </x:c>
    </x:row>
    <x:row r="63">
      <x:c r="A63" s="88" t="str">
        <x:v>Construction</x:v>
      </x:c>
      <x:c r="B63" s="88" t="str">
        <x:v>Relevance</x:v>
      </x:c>
      <x:c r="C63" s="88" t="str">
        <x:v>Prefrontal cortex, general</x:v>
      </x:c>
      <x:c r="D63" s="88" t="str">
        <x:v>E062</x:v>
      </x:c>
    </x:row>
    <x:row r="64">
      <x:c r="A64" s="88" t="str">
        <x:v>Construction</x:v>
      </x:c>
      <x:c r="B64" s="88" t="str">
        <x:v>Relevance</x:v>
      </x:c>
      <x:c r="C64" s="88" t="str">
        <x:v>aPFC / frontopolar cortex</x:v>
      </x:c>
      <x:c r="D64" s="88" t="str">
        <x:v>E063</x:v>
      </x:c>
    </x:row>
    <x:row r="65">
      <x:c r="A65" s="88" t="str">
        <x:v>Construction</x:v>
      </x:c>
      <x:c r="B65" s="88" t="str">
        <x:v>Relevance</x:v>
      </x:c>
      <x:c r="C65" s="88" t="str">
        <x:v>Basal ganglia / striatum</x:v>
      </x:c>
      <x:c r="D65" s="88" t="str">
        <x:v>E064</x:v>
      </x:c>
    </x:row>
    <x:row r="66">
      <x:c r="A66" s="88" t="str">
        <x:v>Construction</x:v>
      </x:c>
      <x:c r="B66" s="88" t="str">
        <x:v>Relevance</x:v>
      </x:c>
      <x:c r="C66" s="88" t="str">
        <x:v>Prospective-memory / timing systems</x:v>
      </x:c>
      <x:c r="D66" s="88" t="str">
        <x:v>E065</x:v>
      </x:c>
    </x:row>
    <x:row r="67">
      <x:c r="A67" s="88" t="str">
        <x:v>Construction</x:v>
      </x:c>
      <x:c r="B67" s="88" t="str">
        <x:v>Push</x:v>
      </x:c>
      <x:c r="C67" s="88" t="str">
        <x:v>DLPFC</x:v>
      </x:c>
      <x:c r="D67" s="88" t="str">
        <x:v>E066</x:v>
      </x:c>
    </x:row>
    <x:row r="68">
      <x:c r="A68" s="88" t="str">
        <x:v>Construction</x:v>
      </x:c>
      <x:c r="B68" s="88" t="str">
        <x:v>Push</x:v>
      </x:c>
      <x:c r="C68" s="88" t="str">
        <x:v>aPFC / frontopolar cortex</x:v>
      </x:c>
      <x:c r="D68" s="88" t="str">
        <x:v>E067</x:v>
      </x:c>
    </x:row>
    <x:row r="69">
      <x:c r="A69" s="88" t="str">
        <x:v>Construction</x:v>
      </x:c>
      <x:c r="B69" s="88" t="str">
        <x:v>Push</x:v>
      </x:c>
      <x:c r="C69" s="88" t="str">
        <x:v>Posterior parietal cortex</x:v>
      </x:c>
      <x:c r="D69" s="88" t="str">
        <x:v>E068</x:v>
      </x:c>
    </x:row>
    <x:row r="70">
      <x:c r="A70" s="88" t="str">
        <x:v>Construction</x:v>
      </x:c>
      <x:c r="B70" s="88" t="str">
        <x:v>Push</x:v>
      </x:c>
      <x:c r="C70" s="88" t="str">
        <x:v>dACC / midcingulate cortex</x:v>
      </x:c>
      <x:c r="D70" s="88" t="str">
        <x:v>E069</x:v>
      </x:c>
    </x:row>
    <x:row r="71">
      <x:c r="A71" s="88" t="str">
        <x:v>Construction</x:v>
      </x:c>
      <x:c r="B71" s="88" t="str">
        <x:v>Push</x:v>
      </x:c>
      <x:c r="C71" s="88" t="str">
        <x:v>Anterior insula</x:v>
      </x:c>
      <x:c r="D71" s="88" t="str">
        <x:v>E070</x:v>
      </x:c>
    </x:row>
    <x:row r="72">
      <x:c r="A72" s="88" t="str">
        <x:v>Construction</x:v>
      </x:c>
      <x:c r="B72" s="88" t="str">
        <x:v>Push</x:v>
      </x:c>
      <x:c r="C72" s="88" t="str">
        <x:v>Frontostriatal systems</x:v>
      </x:c>
      <x:c r="D72" s="88" t="str">
        <x:v>E071</x:v>
      </x:c>
    </x:row>
    <x:row r="73">
      <x:c r="A73" s="88" t="str">
        <x:v>Construction</x:v>
      </x:c>
      <x:c r="B73" s="88" t="str">
        <x:v>Pull</x:v>
      </x:c>
      <x:c r="C73" s="88" t="str">
        <x:v>Hippocampus / medial temporal lobe</x:v>
      </x:c>
      <x:c r="D73" s="88" t="str">
        <x:v>E072</x:v>
      </x:c>
    </x:row>
    <x:row r="74">
      <x:c r="A74" s="88" t="str">
        <x:v>Construction</x:v>
      </x:c>
      <x:c r="B74" s="88" t="str">
        <x:v>Pull</x:v>
      </x:c>
      <x:c r="C74" s="88" t="str">
        <x:v>Medial prefrontal cortex</x:v>
      </x:c>
      <x:c r="D74" s="88" t="str">
        <x:v>E073</x:v>
      </x:c>
    </x:row>
    <x:row r="75">
      <x:c r="A75" s="88" t="str">
        <x:v>Construction</x:v>
      </x:c>
      <x:c r="B75" s="88" t="str">
        <x:v>Pull</x:v>
      </x:c>
      <x:c r="C75" s="88" t="str">
        <x:v>PCC / precuneus</x:v>
      </x:c>
      <x:c r="D75" s="88" t="str">
        <x:v>E074</x:v>
      </x:c>
    </x:row>
    <x:row r="76">
      <x:c r="A76" s="88" t="str">
        <x:v>Construction</x:v>
      </x:c>
      <x:c r="B76" s="88" t="str">
        <x:v>Pull</x:v>
      </x:c>
      <x:c r="C76" s="88" t="str">
        <x:v>Angular gyrus</x:v>
      </x:c>
      <x:c r="D76" s="88" t="str">
        <x:v>E075</x:v>
      </x:c>
    </x:row>
    <x:row r="77">
      <x:c r="A77" s="88" t="str">
        <x:v>Construction</x:v>
      </x:c>
      <x:c r="B77" s="88" t="str">
        <x:v>Pull</x:v>
      </x:c>
      <x:c r="C77" s="88" t="str">
        <x:v>Default mode network</x:v>
      </x:c>
      <x:c r="D77" s="88" t="str">
        <x:v>E076</x:v>
      </x:c>
    </x:row>
    <x:row r="78">
      <x:c r="A78" s="88" t="str">
        <x:v>Construction</x:v>
      </x:c>
      <x:c r="B78" s="88" t="str">
        <x:v>Pull</x:v>
      </x:c>
      <x:c r="C78" s="88" t="str">
        <x:v>Lateral / anterior prefrontal cortex</x:v>
      </x:c>
      <x:c r="D78" s="88" t="str">
        <x:v>E077</x:v>
      </x:c>
    </x:row>
    <x:row r="79">
      <x:c r="A79" s="88" t="str">
        <x:v>Construction</x:v>
      </x:c>
      <x:c r="B79" s="88" t="str">
        <x:v>Pull</x:v>
      </x:c>
      <x:c r="C79" s="88" t="str">
        <x:v>aPFC / frontopolar cortex</x:v>
      </x:c>
      <x:c r="D79" s="88" t="str">
        <x:v>E078</x:v>
      </x:c>
    </x:row>
    <x:row r="80">
      <x:c r="A80" s="88" t="str">
        <x:v>Construction</x:v>
      </x:c>
      <x:c r="B80" s="88" t="str">
        <x:v>Pull</x:v>
      </x:c>
      <x:c r="C80" s="88" t="str">
        <x:v>Valuation systems</x:v>
      </x:c>
      <x:c r="D80" s="88" t="str">
        <x:v>E079</x:v>
      </x:c>
    </x:row>
    <x:row r="81">
      <x:c r="A81" s="88" t="str">
        <x:v>Construction</x:v>
      </x:c>
      <x:c r="B81" s="88" t="str">
        <x:v>PhoneWalletKeys</x:v>
      </x:c>
      <x:c r="C81" s="88" t="str">
        <x:v>Hippocampus / medial temporal lobe</x:v>
      </x:c>
      <x:c r="D81" s="88" t="str">
        <x:v>E080</x:v>
      </x:c>
    </x:row>
    <x:row r="82">
      <x:c r="A82" s="88" t="str">
        <x:v>Construction</x:v>
      </x:c>
      <x:c r="B82" s="88" t="str">
        <x:v>PhoneWalletKeys</x:v>
      </x:c>
      <x:c r="C82" s="88" t="str">
        <x:v>Prefrontal cortex, general</x:v>
      </x:c>
      <x:c r="D82" s="88" t="str">
        <x:v>E081</x:v>
      </x:c>
    </x:row>
    <x:row r="83">
      <x:c r="A83" s="88" t="str">
        <x:v>Construction</x:v>
      </x:c>
      <x:c r="B83" s="88" t="str">
        <x:v>PhoneWalletKeys</x:v>
      </x:c>
      <x:c r="C83" s="88" t="str">
        <x:v>DLPFC</x:v>
      </x:c>
      <x:c r="D83" s="88" t="str">
        <x:v>E082</x:v>
      </x:c>
    </x:row>
    <x:row r="84">
      <x:c r="A84" s="88" t="str">
        <x:v>Construction</x:v>
      </x:c>
      <x:c r="B84" s="88" t="str">
        <x:v>PhoneWalletKeys</x:v>
      </x:c>
      <x:c r="C84" s="88" t="str">
        <x:v>Caudate</x:v>
      </x:c>
      <x:c r="D84" s="88" t="str">
        <x:v>E083</x:v>
      </x:c>
    </x:row>
    <x:row r="85">
      <x:c r="A85" s="88" t="str">
        <x:v>Construction</x:v>
      </x:c>
      <x:c r="B85" s="88" t="str">
        <x:v>PhoneWalletKeys</x:v>
      </x:c>
      <x:c r="C85" s="88" t="str">
        <x:v>Basal ganglia / striatum</x:v>
      </x:c>
      <x:c r="D85" s="88" t="str">
        <x:v>E084</x:v>
      </x:c>
    </x:row>
    <x:row r="86">
      <x:c r="A86" s="88" t="str">
        <x:v>Construction</x:v>
      </x:c>
      <x:c r="B86" s="88" t="str">
        <x:v>PhoneWalletKeys</x:v>
      </x:c>
      <x:c r="C86" s="88" t="str">
        <x:v>Premotor cortex</x:v>
      </x:c>
      <x:c r="D86" s="88" t="str">
        <x:v>E085</x:v>
      </x:c>
    </x:row>
    <x:row r="87">
      <x:c r="A87" s="88" t="str">
        <x:v>Construction</x:v>
      </x:c>
      <x:c r="B87" s="88" t="str">
        <x:v>PhoneWalletKeys</x:v>
      </x:c>
      <x:c r="C87" s="88" t="str">
        <x:v>SMA / pre-SMA</x:v>
      </x:c>
      <x:c r="D87" s="88" t="str">
        <x:v>E086</x:v>
      </x:c>
    </x:row>
    <x:row r="88">
      <x:c r="A88" s="88" t="str">
        <x:v>Construction</x:v>
      </x:c>
      <x:c r="B88" s="88" t="str">
        <x:v>FuckYourFeelings</x:v>
      </x:c>
      <x:c r="C88" s="88" t="str">
        <x:v>Brainstem</x:v>
      </x:c>
      <x:c r="D88" s="88" t="str">
        <x:v>E087</x:v>
      </x:c>
    </x:row>
    <x:row r="89">
      <x:c r="A89" s="88" t="str">
        <x:v>Construction</x:v>
      </x:c>
      <x:c r="B89" s="88" t="str">
        <x:v>FuckYourFeelings</x:v>
      </x:c>
      <x:c r="C89" s="88" t="str">
        <x:v>Hypothalamus</x:v>
      </x:c>
      <x:c r="D89" s="88" t="str">
        <x:v>E088</x:v>
      </x:c>
    </x:row>
    <x:row r="90">
      <x:c r="A90" s="88" t="str">
        <x:v>Construction</x:v>
      </x:c>
      <x:c r="B90" s="88" t="str">
        <x:v>FuckYourFeelings</x:v>
      </x:c>
      <x:c r="C90" s="88" t="str">
        <x:v>Thalamus</x:v>
      </x:c>
      <x:c r="D90" s="88" t="str">
        <x:v>E089</x:v>
      </x:c>
    </x:row>
    <x:row r="91">
      <x:c r="A91" s="88" t="str">
        <x:v>Construction</x:v>
      </x:c>
      <x:c r="B91" s="88" t="str">
        <x:v>FuckYourFeelings</x:v>
      </x:c>
      <x:c r="C91" s="88" t="str">
        <x:v>Posterior / mid insula</x:v>
      </x:c>
      <x:c r="D91" s="88" t="str">
        <x:v>E090</x:v>
      </x:c>
    </x:row>
    <x:row r="92">
      <x:c r="A92" s="88" t="str">
        <x:v>Construction</x:v>
      </x:c>
      <x:c r="B92" s="88" t="str">
        <x:v>FuckYourFeelings</x:v>
      </x:c>
      <x:c r="C92" s="88" t="str">
        <x:v>Anterior insula</x:v>
      </x:c>
      <x:c r="D92" s="88" t="str">
        <x:v>E091</x:v>
      </x:c>
    </x:row>
    <x:row r="93">
      <x:c r="A93" s="88" t="str">
        <x:v>Construction</x:v>
      </x:c>
      <x:c r="B93" s="88" t="str">
        <x:v>FuckYourFeelings</x:v>
      </x:c>
      <x:c r="C93" s="88" t="str">
        <x:v>ACC</x:v>
      </x:c>
      <x:c r="D93" s="88" t="str">
        <x:v>E092</x:v>
      </x:c>
    </x:row>
    <x:row r="94">
      <x:c r="A94" s="88" t="str">
        <x:v>Construction</x:v>
      </x:c>
      <x:c r="B94" s="88" t="str">
        <x:v>FuckYourFeelings</x:v>
      </x:c>
      <x:c r="C94" s="88" t="str">
        <x:v>Amygdala</x:v>
      </x:c>
      <x:c r="D94" s="88" t="str">
        <x:v>E093</x:v>
      </x:c>
    </x:row>
    <x:row r="95">
      <x:c r="A95" s="88" t="str">
        <x:v>Construction</x:v>
      </x:c>
      <x:c r="B95" s="88" t="str">
        <x:v>FuckYourFeelings</x:v>
      </x:c>
      <x:c r="C95" s="88" t="str">
        <x:v>vmPFC / OFC</x:v>
      </x:c>
      <x:c r="D95" s="88" t="str">
        <x:v>E094</x:v>
      </x:c>
    </x:row>
    <x:row r="96">
      <x:c r="A96" s="88" t="str">
        <x:v>Construction</x:v>
      </x:c>
      <x:c r="B96" s="88" t="str">
        <x:v>FuckYourFeelings</x:v>
      </x:c>
      <x:c r="C96" s="88" t="str">
        <x:v>Autonomic / arousal systems</x:v>
      </x:c>
      <x:c r="D96" s="88" t="str">
        <x:v>E095</x:v>
      </x:c>
    </x:row>
    <x:row r="97">
      <x:c r="A97" s="88" t="str">
        <x:v>Construction</x:v>
      </x:c>
      <x:c r="B97" s="88" t="str">
        <x:v>FuckYourFeelings</x:v>
      </x:c>
      <x:c r="C97" s="88" t="str">
        <x:v>Interoceptive systems</x:v>
      </x:c>
      <x:c r="D97" s="88" t="str">
        <x:v>E096</x:v>
      </x:c>
    </x:row>
    <x:row r="98">
      <x:c r="A98" s="88" t="str">
        <x:v>Construction</x:v>
      </x:c>
      <x:c r="B98" s="88" t="str">
        <x:v>FuckYourFeelings</x:v>
      </x:c>
      <x:c r="C98" s="88" t="str">
        <x:v>Valuation systems</x:v>
      </x:c>
      <x:c r="D98" s="88" t="str">
        <x:v>E097</x:v>
      </x:c>
    </x:row>
    <x:row r="99">
      <x:c r="A99" s="88" t="str">
        <x:v>Construction</x:v>
      </x:c>
      <x:c r="B99" s="88" t="str">
        <x:v>Weight</x:v>
      </x:c>
      <x:c r="C99" s="88" t="str">
        <x:v>vmPFC / OFC</x:v>
      </x:c>
      <x:c r="D99" s="88" t="str">
        <x:v>E098</x:v>
      </x:c>
    </x:row>
    <x:row r="100">
      <x:c r="A100" s="88" t="str">
        <x:v>Construction</x:v>
      </x:c>
      <x:c r="B100" s="88" t="str">
        <x:v>Weight</x:v>
      </x:c>
      <x:c r="C100" s="88" t="str">
        <x:v>Ventral striatum</x:v>
      </x:c>
      <x:c r="D100" s="88" t="str">
        <x:v>E099</x:v>
      </x:c>
    </x:row>
    <x:row r="101">
      <x:c r="A101" s="88" t="str">
        <x:v>Construction</x:v>
      </x:c>
      <x:c r="B101" s="88" t="str">
        <x:v>Weight</x:v>
      </x:c>
      <x:c r="C101" s="88" t="str">
        <x:v>Anterior insula</x:v>
      </x:c>
      <x:c r="D101" s="88" t="str">
        <x:v>E100</x:v>
      </x:c>
    </x:row>
    <x:row r="102">
      <x:c r="A102" s="88" t="str">
        <x:v>Construction</x:v>
      </x:c>
      <x:c r="B102" s="88" t="str">
        <x:v>Weight</x:v>
      </x:c>
      <x:c r="C102" s="88" t="str">
        <x:v>dACC / midcingulate cortex</x:v>
      </x:c>
      <x:c r="D102" s="88" t="str">
        <x:v>E101</x:v>
      </x:c>
    </x:row>
    <x:row r="103">
      <x:c r="A103" s="88" t="str">
        <x:v>Construction</x:v>
      </x:c>
      <x:c r="B103" s="88" t="str">
        <x:v>Weight</x:v>
      </x:c>
      <x:c r="C103" s="88" t="str">
        <x:v>Hippocampus / medial temporal lobe</x:v>
      </x:c>
      <x:c r="D103" s="88" t="str">
        <x:v>E102</x:v>
      </x:c>
    </x:row>
    <x:row r="104">
      <x:c r="A104" s="88" t="str">
        <x:v>Construction</x:v>
      </x:c>
      <x:c r="B104" s="88" t="str">
        <x:v>Weight</x:v>
      </x:c>
      <x:c r="C104" s="88" t="str">
        <x:v>Default mode network</x:v>
      </x:c>
      <x:c r="D104" s="88" t="str">
        <x:v>E103</x:v>
      </x:c>
    </x:row>
    <x:row r="105">
      <x:c r="A105" s="88" t="str">
        <x:v>Construction</x:v>
      </x:c>
      <x:c r="B105" s="88" t="str">
        <x:v>Weight</x:v>
      </x:c>
      <x:c r="C105" s="88" t="str">
        <x:v>Medial prefrontal cortex</x:v>
      </x:c>
      <x:c r="D105" s="88" t="str">
        <x:v>E104</x:v>
      </x:c>
    </x:row>
    <x:row r="106">
      <x:c r="A106" s="88" t="str">
        <x:v>Construction</x:v>
      </x:c>
      <x:c r="B106" s="88" t="str">
        <x:v>Weight</x:v>
      </x:c>
      <x:c r="C106" s="88" t="str">
        <x:v>TPJ / pSTS</x:v>
      </x:c>
      <x:c r="D106" s="88" t="str">
        <x:v>E105</x:v>
      </x:c>
    </x:row>
    <x:row r="107">
      <x:c r="A107" s="88" t="str">
        <x:v>Construction</x:v>
      </x:c>
      <x:c r="B107" s="88" t="str">
        <x:v>Weight</x:v>
      </x:c>
      <x:c r="C107" s="88" t="str">
        <x:v>Autonomic / arousal systems</x:v>
      </x:c>
      <x:c r="D107" s="88" t="str">
        <x:v>E106</x:v>
      </x:c>
    </x:row>
    <x:row r="108">
      <x:c r="A108" s="88" t="str">
        <x:v>Construction</x:v>
      </x:c>
      <x:c r="B108" s="88" t="str">
        <x:v>Weight</x:v>
      </x:c>
      <x:c r="C108" s="88" t="str">
        <x:v>Basal ganglia / striatum</x:v>
      </x:c>
      <x:c r="D108" s="88" t="str">
        <x:v>E107</x:v>
      </x:c>
    </x:row>
    <x:row r="109">
      <x:c r="A109" s="88" t="str">
        <x:v>Construction</x:v>
      </x:c>
      <x:c r="B109" s="88" t="str">
        <x:v>Weight</x:v>
      </x:c>
      <x:c r="C109" s="88" t="str">
        <x:v>Valuation systems</x:v>
      </x:c>
      <x:c r="D109" s="88" t="str">
        <x:v>E108</x:v>
      </x:c>
    </x:row>
    <x:row r="110">
      <x:c r="A110" s="90" t="str">
        <x:v>Action</x:v>
      </x:c>
      <x:c r="B110" s="90" t="str">
        <x:v>WhatchyaDoin</x:v>
      </x:c>
      <x:c r="C110" s="90" t="str">
        <x:v>Basal ganglia / striatum</x:v>
      </x:c>
      <x:c r="D110" s="90" t="str">
        <x:v>E109</x:v>
      </x:c>
    </x:row>
    <x:row r="111">
      <x:c r="A111" s="90" t="str">
        <x:v>Action</x:v>
      </x:c>
      <x:c r="B111" s="90" t="str">
        <x:v>WhatchyaDoin</x:v>
      </x:c>
      <x:c r="C111" s="90" t="str">
        <x:v>SMA / pre-SMA</x:v>
      </x:c>
      <x:c r="D111" s="90" t="str">
        <x:v>E110</x:v>
      </x:c>
    </x:row>
    <x:row r="112">
      <x:c r="A112" s="90" t="str">
        <x:v>Action</x:v>
      </x:c>
      <x:c r="B112" s="90" t="str">
        <x:v>WhatchyaDoin</x:v>
      </x:c>
      <x:c r="C112" s="90" t="str">
        <x:v>Dorsal premotor cortex</x:v>
      </x:c>
      <x:c r="D112" s="90" t="str">
        <x:v>E111</x:v>
      </x:c>
    </x:row>
    <x:row r="113">
      <x:c r="A113" s="90" t="str">
        <x:v>Action</x:v>
      </x:c>
      <x:c r="B113" s="90" t="str">
        <x:v>WhatchyaDoin</x:v>
      </x:c>
      <x:c r="C113" s="90" t="str">
        <x:v>Premotor cortex</x:v>
      </x:c>
      <x:c r="D113" s="90" t="str">
        <x:v>E112</x:v>
      </x:c>
    </x:row>
    <x:row r="114">
      <x:c r="A114" s="90" t="str">
        <x:v>Action</x:v>
      </x:c>
      <x:c r="B114" s="90" t="str">
        <x:v>WhatchyaDoin</x:v>
      </x:c>
      <x:c r="C114" s="90" t="str">
        <x:v>Posterior parietal cortex</x:v>
      </x:c>
      <x:c r="D114" s="90" t="str">
        <x:v>E113</x:v>
      </x:c>
    </x:row>
    <x:row r="115">
      <x:c r="A115" s="90" t="str">
        <x:v>Action</x:v>
      </x:c>
      <x:c r="B115" s="90" t="str">
        <x:v>WhatchyaDoin</x:v>
      </x:c>
      <x:c r="C115" s="90" t="str">
        <x:v>dACC / midcingulate cortex</x:v>
      </x:c>
      <x:c r="D115" s="90" t="str">
        <x:v>E114</x:v>
      </x:c>
    </x:row>
    <x:row r="116">
      <x:c r="A116" s="90" t="str">
        <x:v>Action</x:v>
      </x:c>
      <x:c r="B116" s="90" t="str">
        <x:v>WhatchyaDoin</x:v>
      </x:c>
      <x:c r="C116" s="90" t="str">
        <x:v>Sensory cortex / sensory systems</x:v>
      </x:c>
      <x:c r="D116" s="90" t="str">
        <x:v>E115</x:v>
      </x:c>
    </x:row>
    <x:row r="117">
      <x:c r="A117" s="90" t="str">
        <x:v>Action</x:v>
      </x:c>
      <x:c r="B117" s="90" t="str">
        <x:v>WhatchyaDoin</x:v>
      </x:c>
      <x:c r="C117" s="90" t="str">
        <x:v>Neuromodulatory systems</x:v>
      </x:c>
      <x:c r="D117" s="90" t="str">
        <x:v>E116</x:v>
      </x:c>
    </x:row>
    <x:row r="118">
      <x:c r="A118" s="90" t="str">
        <x:v>Action</x:v>
      </x:c>
      <x:c r="B118" s="90" t="str">
        <x:v>WhatchyaDoin</x:v>
      </x:c>
      <x:c r="C118" s="90" t="str">
        <x:v>Substantia nigra dopaminergic system</x:v>
      </x:c>
      <x:c r="D118" s="90" t="str">
        <x:v>E117</x:v>
      </x:c>
    </x:row>
    <x:row r="119">
      <x:c r="A119" s="90" t="str">
        <x:v>Action</x:v>
      </x:c>
      <x:c r="B119" s="90" t="str">
        <x:v>WhatchyaDoin</x:v>
      </x:c>
      <x:c r="C119" s="90" t="str">
        <x:v>Locus coeruleus / noradrenergic system</x:v>
      </x:c>
      <x:c r="D119" s="90" t="str">
        <x:v>E118</x:v>
      </x:c>
    </x:row>
    <x:row r="120">
      <x:c r="A120" s="92" t="str">
        <x:v>Integration</x:v>
      </x:c>
      <x:c r="B120" s="92" t="str">
        <x:v>FutureYou</x:v>
      </x:c>
      <x:c r="C120" s="92" t="str">
        <x:v>Hippocampus / medial temporal lobe</x:v>
      </x:c>
      <x:c r="D120" s="92" t="str">
        <x:v>E119</x:v>
      </x:c>
    </x:row>
    <x:row r="121">
      <x:c r="A121" s="92" t="str">
        <x:v>Integration</x:v>
      </x:c>
      <x:c r="B121" s="92" t="str">
        <x:v>FutureYou</x:v>
      </x:c>
      <x:c r="C121" s="92" t="str">
        <x:v>aPFC / frontopolar cortex</x:v>
      </x:c>
      <x:c r="D121" s="92" t="str">
        <x:v>E120</x:v>
      </x:c>
    </x:row>
    <x:row r="122">
      <x:c r="A122" s="92" t="str">
        <x:v>Integration</x:v>
      </x:c>
      <x:c r="B122" s="92" t="str">
        <x:v>FutureYou</x:v>
      </x:c>
      <x:c r="C122" s="92" t="str">
        <x:v>dACC / midcingulate cortex</x:v>
      </x:c>
      <x:c r="D122" s="92" t="str">
        <x:v>E121</x:v>
      </x:c>
    </x:row>
    <x:row r="123">
      <x:c r="A123" s="92" t="str">
        <x:v>Integration</x:v>
      </x:c>
      <x:c r="B123" s="92" t="str">
        <x:v>FutureYou</x:v>
      </x:c>
      <x:c r="C123" s="92" t="str">
        <x:v>DLPFC</x:v>
      </x:c>
      <x:c r="D123" s="92" t="str">
        <x:v>E122</x:v>
      </x:c>
    </x:row>
    <x:row r="124">
      <x:c r="A124" s="92" t="str">
        <x:v>Integration</x:v>
      </x:c>
      <x:c r="B124" s="92" t="str">
        <x:v>FutureYou</x:v>
      </x:c>
      <x:c r="C124" s="92" t="str">
        <x:v>vmPFC / OFC</x:v>
      </x:c>
      <x:c r="D124" s="92" t="str">
        <x:v>E123</x:v>
      </x:c>
    </x:row>
    <x:row r="125">
      <x:c r="A125" s="92" t="str">
        <x:v>Integration</x:v>
      </x:c>
      <x:c r="B125" s="92" t="str">
        <x:v>FutureYou</x:v>
      </x:c>
      <x:c r="C125" s="92" t="str">
        <x:v>Basal ganglia / striatum</x:v>
      </x:c>
      <x:c r="D125" s="92" t="str">
        <x:v>E124</x:v>
      </x:c>
    </x:row>
    <x:row r="126">
      <x:c r="A126" s="92" t="str">
        <x:v>Integration</x:v>
      </x:c>
      <x:c r="B126" s="92" t="str">
        <x:v>FutureYou</x:v>
      </x:c>
      <x:c r="C126" s="92" t="str">
        <x:v>Valuation systems</x:v>
      </x:c>
      <x:c r="D126" s="92" t="str">
        <x:v>E125</x:v>
      </x:c>
    </x:row>
    <x:row r="127">
      <x:c r="A127" s="92" t="str">
        <x:v>Integration</x:v>
      </x:c>
      <x:c r="B127" s="92" t="str">
        <x:v>FutureYou</x:v>
      </x:c>
      <x:c r="C127" s="92" t="str">
        <x:v>Posterior parietal cortex</x:v>
      </x:c>
      <x:c r="D127" s="92" t="str">
        <x:v>E126</x:v>
      </x:c>
    </x:row>
    <x:row r="128">
      <x:c r="A128" s="92" t="str">
        <x:v>Integration</x:v>
      </x:c>
      <x:c r="B128" s="92" t="str">
        <x:v>FutureYou</x:v>
      </x:c>
      <x:c r="C128" s="92" t="str">
        <x:v>TPJ / pSTS</x:v>
      </x:c>
      <x:c r="D128" s="92" t="str">
        <x:v>E127</x:v>
      </x:c>
    </x:row>
    <x:row r="129">
      <x:c r="A129" s="92" t="str">
        <x:v>Integration</x:v>
      </x:c>
      <x:c r="B129" s="92" t="str">
        <x:v>FutureYou</x:v>
      </x:c>
      <x:c r="C129" s="92" t="str">
        <x:v>Medial prefrontal cortex</x:v>
      </x:c>
      <x:c r="D129" s="92" t="str">
        <x:v>E128</x:v>
      </x:c>
    </x:row>
    <x:row r="130">
      <x:c r="A130" s="92" t="str">
        <x:v>Integration</x:v>
      </x:c>
      <x:c r="B130" s="92" t="str">
        <x:v>FutureYou</x:v>
      </x:c>
      <x:c r="C130" s="92" t="str">
        <x:v>Default mode network</x:v>
      </x:c>
      <x:c r="D130" s="92" t="str">
        <x:v>E129</x:v>
      </x:c>
    </x:row>
    <x:row r="131">
      <x:c r="A131" s="92" t="str">
        <x:v>Integration</x:v>
      </x:c>
      <x:c r="B131" s="92" t="str">
        <x:v>FutureYou</x:v>
      </x:c>
      <x:c r="C131" s="92" t="str">
        <x:v>Frontoparietal attention network</x:v>
      </x:c>
      <x:c r="D131" s="92" t="str">
        <x:v>E130</x:v>
      </x:c>
    </x:row>
    <x:row r="132">
      <x:c r="A132" s="92" t="str">
        <x:v>Integration</x:v>
      </x:c>
      <x:c r="B132" s="92" t="str">
        <x:v>FutureYou</x:v>
      </x:c>
      <x:c r="C132" s="92" t="str">
        <x:v>Frontoparietal control network</x:v>
      </x:c>
      <x:c r="D132" s="92" t="str">
        <x:v>E131</x:v>
      </x:c>
    </x:row>
    <x:row r="133">
      <x:c r="A133" s="92" t="str">
        <x:v>Integration</x:v>
      </x:c>
      <x:c r="B133" s="92" t="str">
        <x:v>FutureYou</x:v>
      </x:c>
      <x:c r="C133" s="92" t="str">
        <x:v>Sensory cortex / sensory systems</x:v>
      </x:c>
      <x:c r="D133" s="92" t="str">
        <x:v>E132</x:v>
      </x:c>
    </x:row>
    <x:row r="134">
      <x:c r="A134" s="92" t="str">
        <x:v>Integration</x:v>
      </x:c>
      <x:c r="B134" s="92" t="str">
        <x:v>FutureYou</x:v>
      </x:c>
      <x:c r="C134" s="92" t="str">
        <x:v>Interoceptive systems</x:v>
      </x:c>
      <x:c r="D134" s="92" t="str">
        <x:v>E133</x:v>
      </x:c>
    </x:row>
    <x:row r="135">
      <x:c r="A135" s="92" t="str">
        <x:v>Integration</x:v>
      </x:c>
      <x:c r="B135" s="92" t="str">
        <x:v>FutureYou</x:v>
      </x:c>
      <x:c r="C135" s="92" t="str">
        <x:v>Thalamus</x:v>
      </x:c>
      <x:c r="D135" s="92" t="str">
        <x:v>E134</x:v>
      </x:c>
    </x:row>
  </x:sheetData>
  <x:pageMargins left="0.7" right="0.7" top="0.75" bottom="0.75" header="0.3" footer="0.3"/>
  <x:tableParts count="1">
    <x:tablePart xmlns:r="http://schemas.openxmlformats.org/officeDocument/2006/relationships" r:id="R3b34d8f3b08f4c06"/>
  </x:tableParts>
</x:worksheet>
</file>

<file path=xl/worksheets/sheet5.xml><?xml version="1.0" encoding="utf-8"?>
<x:worksheet xmlns:x="http://schemas.openxmlformats.org/spreadsheetml/2006/main">
  <x:sheetViews>
    <x:sheetView workbookViewId="0">
      <x:pane xSplit="2" ySplit="1" topLeftCell="C2" activePane="bottomRight" state="frozen"/>
    </x:sheetView>
  </x:sheetViews>
  <x:sheetFormatPr defaultRowHeight="15"/>
  <x:cols>
    <x:col min="1" max="1" width="28" hidden="0" customWidth="1"/>
    <x:col min="2" max="2" width="16" hidden="0" customWidth="1"/>
    <x:col min="3" max="3" width="10" hidden="0" customWidth="1"/>
    <x:col min="4" max="4" width="10" hidden="0" customWidth="1"/>
    <x:col min="5" max="5" width="10" hidden="0" customWidth="1"/>
    <x:col min="6" max="6" width="10" hidden="0" customWidth="1"/>
    <x:col min="7" max="7" width="10" hidden="0" customWidth="1"/>
    <x:col min="8" max="8" width="10" hidden="0" customWidth="1"/>
    <x:col min="9" max="9" width="10" hidden="0" customWidth="1"/>
    <x:col min="10" max="10" width="10" hidden="0" customWidth="1"/>
    <x:col min="11" max="11" width="10" hidden="0" customWidth="1"/>
    <x:col min="12" max="12" width="10" hidden="0" customWidth="1"/>
    <x:col min="13" max="13" width="10" hidden="0" customWidth="1"/>
    <x:col min="14" max="14" width="10" hidden="0" customWidth="1"/>
    <x:col min="15" max="15" width="10" hidden="0" customWidth="1"/>
    <x:col min="16" max="16" width="10" hidden="0" customWidth="1"/>
    <x:col min="17" max="17" width="10" hidden="0" customWidth="1"/>
    <x:col min="18" max="18" width="10" hidden="0" customWidth="1"/>
    <x:col min="19" max="19" width="10" hidden="0" customWidth="1"/>
    <x:col min="20" max="20" width="10" hidden="0" customWidth="1"/>
    <x:col min="21" max="21" width="10" hidden="0" customWidth="1"/>
    <x:col min="22" max="22" width="10" hidden="0" customWidth="1"/>
    <x:col min="23" max="23" width="10" hidden="0" customWidth="1"/>
    <x:col min="24" max="24" width="10" hidden="0" customWidth="1"/>
    <x:col min="25" max="25" width="10" hidden="0" customWidth="1"/>
    <x:col min="26" max="26" width="10" hidden="0" customWidth="1"/>
    <x:col min="27" max="27" width="10" hidden="0" customWidth="1"/>
    <x:col min="28" max="28" width="10" hidden="0" customWidth="1"/>
    <x:col min="29" max="29" width="10" hidden="0" customWidth="1"/>
    <x:col min="30" max="30" width="10" hidden="0" customWidth="1"/>
    <x:col min="31" max="31" width="10" hidden="0" customWidth="1"/>
    <x:col min="32" max="32" width="10" hidden="0" customWidth="1"/>
    <x:col min="33" max="33" width="10" hidden="0" customWidth="1"/>
    <x:col min="34" max="34" width="10" hidden="0" customWidth="1"/>
    <x:col min="35" max="35" width="10" hidden="0" customWidth="1"/>
    <x:col min="36" max="36" width="10" hidden="0" customWidth="1"/>
    <x:col min="37" max="37" width="10" hidden="0" customWidth="1"/>
    <x:col min="38" max="38" width="10" hidden="0" customWidth="1"/>
    <x:col min="39" max="39" width="10" hidden="0" customWidth="1"/>
    <x:col min="40" max="40" width="10" hidden="0" customWidth="1"/>
    <x:col min="41" max="41" width="10" hidden="0" customWidth="1"/>
    <x:col min="42" max="42" width="10" hidden="0" customWidth="1"/>
    <x:col min="43" max="43" width="10" hidden="0" customWidth="1"/>
    <x:col min="44" max="44" width="10" hidden="0" customWidth="1"/>
    <x:col min="45" max="45" width="10" hidden="0" customWidth="1"/>
    <x:col min="46" max="46" width="10" hidden="0" customWidth="1"/>
  </x:cols>
  <x:sheetData>
    <x:row r="1" ht="90" customHeight="1">
      <x:c r="A1" s="94" t="str">
        <x:v>Paper</x:v>
      </x:c>
      <x:c r="B1" s="94" t="str">
        <x:v>Phase</x:v>
      </x:c>
      <x:c r="C1" s="94" t="str">
        <x:v>Basal ganglia / striatum</x:v>
      </x:c>
      <x:c r="D1" s="94" t="str">
        <x:v>Hippocampus / medial temporal lobe</x:v>
      </x:c>
      <x:c r="E1" s="94" t="str">
        <x:v>dACC / midcingulate cortex</x:v>
      </x:c>
      <x:c r="F1" s="94" t="str">
        <x:v>Anterior insula</x:v>
      </x:c>
      <x:c r="G1" s="94" t="str">
        <x:v>aPFC / frontopolar cortex</x:v>
      </x:c>
      <x:c r="H1" s="94" t="str">
        <x:v>SMA / pre-SMA</x:v>
      </x:c>
      <x:c r="I1" s="94" t="str">
        <x:v>Valuation systems</x:v>
      </x:c>
      <x:c r="J1" s="94" t="str">
        <x:v>DLPFC</x:v>
      </x:c>
      <x:c r="K1" s="94" t="str">
        <x:v>Interoceptive systems</x:v>
      </x:c>
      <x:c r="L1" s="94" t="str">
        <x:v>Posterior parietal cortex</x:v>
      </x:c>
      <x:c r="M1" s="94" t="str">
        <x:v>Autonomic / arousal systems</x:v>
      </x:c>
      <x:c r="N1" s="94" t="str">
        <x:v>Default mode network</x:v>
      </x:c>
      <x:c r="O1" s="94" t="str">
        <x:v>Frontoparietal control network</x:v>
      </x:c>
      <x:c r="P1" s="94" t="str">
        <x:v>Prefrontal cortex, general</x:v>
      </x:c>
      <x:c r="Q1" s="94" t="str">
        <x:v>Sensory cortex / sensory systems</x:v>
      </x:c>
      <x:c r="R1" s="94" t="str">
        <x:v>Thalamus</x:v>
      </x:c>
      <x:c r="S1" s="94" t="str">
        <x:v>vmPFC / OFC</x:v>
      </x:c>
      <x:c r="T1" s="94" t="str">
        <x:v>Cerebellum</x:v>
      </x:c>
      <x:c r="U1" s="94" t="str">
        <x:v>Medial prefrontal cortex</x:v>
      </x:c>
      <x:c r="V1" s="94" t="str">
        <x:v>Posterior / mid insula</x:v>
      </x:c>
      <x:c r="W1" s="94" t="str">
        <x:v>Premotor cortex</x:v>
      </x:c>
      <x:c r="X1" s="94" t="str">
        <x:v>ACC</x:v>
      </x:c>
      <x:c r="Y1" s="94" t="str">
        <x:v>Dorsal premotor cortex</x:v>
      </x:c>
      <x:c r="Z1" s="94" t="str">
        <x:v>Frontoparietal attention network</x:v>
      </x:c>
      <x:c r="AA1" s="94" t="str">
        <x:v>Neuromodulatory systems</x:v>
      </x:c>
      <x:c r="AB1" s="94" t="str">
        <x:v>Prospective-memory / timing systems</x:v>
      </x:c>
      <x:c r="AC1" s="94" t="str">
        <x:v>TPJ / pSTS</x:v>
      </x:c>
      <x:c r="AD1" s="94" t="str">
        <x:v>Amygdala</x:v>
      </x:c>
      <x:c r="AE1" s="94" t="str">
        <x:v>Angular gyrus</x:v>
      </x:c>
      <x:c r="AF1" s="94" t="str">
        <x:v>Apical dendrites</x:v>
      </x:c>
      <x:c r="AG1" s="94" t="str">
        <x:v>Association cortex</x:v>
      </x:c>
      <x:c r="AH1" s="94" t="str">
        <x:v>Brainstem</x:v>
      </x:c>
      <x:c r="AI1" s="94" t="str">
        <x:v>Cardiac systems</x:v>
      </x:c>
      <x:c r="AJ1" s="94" t="str">
        <x:v>Caudate</x:v>
      </x:c>
      <x:c r="AK1" s="94" t="str">
        <x:v>Frontostriatal systems</x:v>
      </x:c>
      <x:c r="AL1" s="94" t="str">
        <x:v>Gene-regulatory / plasticity systems</x:v>
      </x:c>
      <x:c r="AM1" s="94" t="str">
        <x:v>Higher-order thalamus</x:v>
      </x:c>
      <x:c r="AN1" s="94" t="str">
        <x:v>Hypothalamus</x:v>
      </x:c>
      <x:c r="AO1" s="94" t="str">
        <x:v>Lateral / anterior prefrontal cortex</x:v>
      </x:c>
      <x:c r="AP1" s="94" t="str">
        <x:v>Layer-5 pyramidal neurons</x:v>
      </x:c>
      <x:c r="AQ1" s="94" t="str">
        <x:v>Locus coeruleus / noradrenergic system</x:v>
      </x:c>
      <x:c r="AR1" s="94" t="str">
        <x:v>Motor cortex</x:v>
      </x:c>
      <x:c r="AS1" s="94" t="str">
        <x:v>PCC / precuneus</x:v>
      </x:c>
      <x:c r="AT1" s="94" t="str">
        <x:v>Substantia nigra dopaminergic system</x:v>
      </x:c>
      <x:c r="AU1" s="85" t="str">
        <x:v>Thalamocortical circuits</x:v>
      </x:c>
      <x:c r="AV1" s="85" t="str">
        <x:v>Ventral striatum</x:v>
      </x:c>
    </x:row>
    <x:row r="2">
      <x:c r="A2" s="95" t="str">
        <x:v>Boundary Theory</x:v>
      </x:c>
      <x:c r="B2" s="95" t="str">
        <x:v>Foundation</x:v>
      </x:c>
      <x:c r="C2" s="34" t="str">
        <x:f>IF(COUNTIFS(Connections!$B:$B,$A2,Connections!$C:$C,C$1)&gt;0,1,"")</x:f>
      </x:c>
      <x:c r="D2" s="34" t="str">
        <x:f>IF(COUNTIFS(Connections!$B:$B,$A2,Connections!$C:$C,D$1)&gt;0,1,"")</x:f>
      </x:c>
      <x:c r="E2" s="34" t="str">
        <x:f>IF(COUNTIFS(Connections!$B:$B,$A2,Connections!$C:$C,E$1)&gt;0,1,"")</x:f>
      </x:c>
      <x:c r="F2" s="34" t="str">
        <x:f>IF(COUNTIFS(Connections!$B:$B,$A2,Connections!$C:$C,F$1)&gt;0,1,"")</x:f>
      </x:c>
      <x:c r="G2" s="34" t="str">
        <x:f>IF(COUNTIFS(Connections!$B:$B,$A2,Connections!$C:$C,G$1)&gt;0,1,"")</x:f>
      </x:c>
      <x:c r="H2" s="34" t="str">
        <x:f>IF(COUNTIFS(Connections!$B:$B,$A2,Connections!$C:$C,H$1)&gt;0,1,"")</x:f>
      </x:c>
      <x:c r="I2" s="34" t="str">
        <x:f>IF(COUNTIFS(Connections!$B:$B,$A2,Connections!$C:$C,I$1)&gt;0,1,"")</x:f>
      </x:c>
      <x:c r="J2" s="34" t="str">
        <x:f>IF(COUNTIFS(Connections!$B:$B,$A2,Connections!$C:$C,J$1)&gt;0,1,"")</x:f>
      </x:c>
      <x:c r="K2" s="34" t="str">
        <x:f>IF(COUNTIFS(Connections!$B:$B,$A2,Connections!$C:$C,K$1)&gt;0,1,"")</x:f>
      </x:c>
      <x:c r="L2" s="34" t="str">
        <x:f>IF(COUNTIFS(Connections!$B:$B,$A2,Connections!$C:$C,L$1)&gt;0,1,"")</x:f>
      </x:c>
      <x:c r="M2" s="34" t="str">
        <x:f>IF(COUNTIFS(Connections!$B:$B,$A2,Connections!$C:$C,M$1)&gt;0,1,"")</x:f>
      </x:c>
      <x:c r="N2" s="34" t="str">
        <x:f>IF(COUNTIFS(Connections!$B:$B,$A2,Connections!$C:$C,N$1)&gt;0,1,"")</x:f>
      </x:c>
      <x:c r="O2" s="34" t="str">
        <x:f>IF(COUNTIFS(Connections!$B:$B,$A2,Connections!$C:$C,O$1)&gt;0,1,"")</x:f>
      </x:c>
      <x:c r="P2" s="34" t="str">
        <x:f>IF(COUNTIFS(Connections!$B:$B,$A2,Connections!$C:$C,P$1)&gt;0,1,"")</x:f>
      </x:c>
      <x:c r="Q2" s="34" t="str">
        <x:f>IF(COUNTIFS(Connections!$B:$B,$A2,Connections!$C:$C,Q$1)&gt;0,1,"")</x:f>
      </x:c>
      <x:c r="R2" s="34" t="str">
        <x:f>IF(COUNTIFS(Connections!$B:$B,$A2,Connections!$C:$C,R$1)&gt;0,1,"")</x:f>
      </x:c>
      <x:c r="S2" s="34" t="str">
        <x:f>IF(COUNTIFS(Connections!$B:$B,$A2,Connections!$C:$C,S$1)&gt;0,1,"")</x:f>
      </x:c>
      <x:c r="T2" s="34" t="str">
        <x:f>IF(COUNTIFS(Connections!$B:$B,$A2,Connections!$C:$C,T$1)&gt;0,1,"")</x:f>
      </x:c>
      <x:c r="U2" s="34" t="str">
        <x:f>IF(COUNTIFS(Connections!$B:$B,$A2,Connections!$C:$C,U$1)&gt;0,1,"")</x:f>
      </x:c>
      <x:c r="V2" s="34" t="str">
        <x:f>IF(COUNTIFS(Connections!$B:$B,$A2,Connections!$C:$C,V$1)&gt;0,1,"")</x:f>
      </x:c>
      <x:c r="W2" s="34" t="str">
        <x:f>IF(COUNTIFS(Connections!$B:$B,$A2,Connections!$C:$C,W$1)&gt;0,1,"")</x:f>
      </x:c>
      <x:c r="X2" s="34" t="str">
        <x:f>IF(COUNTIFS(Connections!$B:$B,$A2,Connections!$C:$C,X$1)&gt;0,1,"")</x:f>
      </x:c>
      <x:c r="Y2" s="34" t="str">
        <x:f>IF(COUNTIFS(Connections!$B:$B,$A2,Connections!$C:$C,Y$1)&gt;0,1,"")</x:f>
      </x:c>
      <x:c r="Z2" s="34" t="str">
        <x:f>IF(COUNTIFS(Connections!$B:$B,$A2,Connections!$C:$C,Z$1)&gt;0,1,"")</x:f>
      </x:c>
      <x:c r="AA2" s="34" t="str">
        <x:f>IF(COUNTIFS(Connections!$B:$B,$A2,Connections!$C:$C,AA$1)&gt;0,1,"")</x:f>
      </x:c>
      <x:c r="AB2" s="34" t="str">
        <x:f>IF(COUNTIFS(Connections!$B:$B,$A2,Connections!$C:$C,AB$1)&gt;0,1,"")</x:f>
      </x:c>
      <x:c r="AC2" s="34" t="str">
        <x:f>IF(COUNTIFS(Connections!$B:$B,$A2,Connections!$C:$C,AC$1)&gt;0,1,"")</x:f>
      </x:c>
      <x:c r="AD2" s="34" t="str">
        <x:f>IF(COUNTIFS(Connections!$B:$B,$A2,Connections!$C:$C,AD$1)&gt;0,1,"")</x:f>
      </x:c>
      <x:c r="AE2" s="34" t="str">
        <x:f>IF(COUNTIFS(Connections!$B:$B,$A2,Connections!$C:$C,AE$1)&gt;0,1,"")</x:f>
      </x:c>
      <x:c r="AF2" s="34" t="str">
        <x:f>IF(COUNTIFS(Connections!$B:$B,$A2,Connections!$C:$C,AF$1)&gt;0,1,"")</x:f>
      </x:c>
      <x:c r="AG2" s="34" t="str">
        <x:f>IF(COUNTIFS(Connections!$B:$B,$A2,Connections!$C:$C,AG$1)&gt;0,1,"")</x:f>
      </x:c>
      <x:c r="AH2" s="34" t="str">
        <x:f>IF(COUNTIFS(Connections!$B:$B,$A2,Connections!$C:$C,AH$1)&gt;0,1,"")</x:f>
      </x:c>
      <x:c r="AI2" s="34" t="str">
        <x:f>IF(COUNTIFS(Connections!$B:$B,$A2,Connections!$C:$C,AI$1)&gt;0,1,"")</x:f>
      </x:c>
      <x:c r="AJ2" s="34" t="str">
        <x:f>IF(COUNTIFS(Connections!$B:$B,$A2,Connections!$C:$C,AJ$1)&gt;0,1,"")</x:f>
      </x:c>
      <x:c r="AK2" s="34" t="str">
        <x:f>IF(COUNTIFS(Connections!$B:$B,$A2,Connections!$C:$C,AK$1)&gt;0,1,"")</x:f>
      </x:c>
      <x:c r="AL2" s="34" t="str">
        <x:f>IF(COUNTIFS(Connections!$B:$B,$A2,Connections!$C:$C,AL$1)&gt;0,1,"")</x:f>
      </x:c>
      <x:c r="AM2" s="34" t="str">
        <x:f>IF(COUNTIFS(Connections!$B:$B,$A2,Connections!$C:$C,AM$1)&gt;0,1,"")</x:f>
      </x:c>
      <x:c r="AN2" s="34" t="str">
        <x:f>IF(COUNTIFS(Connections!$B:$B,$A2,Connections!$C:$C,AN$1)&gt;0,1,"")</x:f>
      </x:c>
      <x:c r="AO2" s="34" t="str">
        <x:f>IF(COUNTIFS(Connections!$B:$B,$A2,Connections!$C:$C,AO$1)&gt;0,1,"")</x:f>
      </x:c>
      <x:c r="AP2" s="34" t="str">
        <x:f>IF(COUNTIFS(Connections!$B:$B,$A2,Connections!$C:$C,AP$1)&gt;0,1,"")</x:f>
      </x:c>
      <x:c r="AQ2" s="34" t="str">
        <x:f>IF(COUNTIFS(Connections!$B:$B,$A2,Connections!$C:$C,AQ$1)&gt;0,1,"")</x:f>
      </x:c>
      <x:c r="AR2" s="34" t="str">
        <x:f>IF(COUNTIFS(Connections!$B:$B,$A2,Connections!$C:$C,AR$1)&gt;0,1,"")</x:f>
      </x:c>
      <x:c r="AS2" s="34" t="str">
        <x:f>IF(COUNTIFS(Connections!$B:$B,$A2,Connections!$C:$C,AS$1)&gt;0,1,"")</x:f>
      </x:c>
      <x:c r="AT2" s="34" t="str">
        <x:f>IF(COUNTIFS(Connections!$B:$B,$A2,Connections!$C:$C,AT$1)&gt;0,1,"")</x:f>
      </x:c>
      <x:c r="AU2" s="34" t="str">
        <x:f>IF(COUNTIFS(Connections!$B:$B,$A2,Connections!$C:$C,AU$1)&gt;0,1,"")</x:f>
      </x:c>
      <x:c r="AV2" s="34" t="str">
        <x:f>IF(COUNTIFS(Connections!$B:$B,$A2,Connections!$C:$C,AV$1)&gt;0,1,"")</x:f>
      </x:c>
    </x:row>
    <x:row r="3">
      <x:c r="A3" s="95" t="str">
        <x:v>Containment</x:v>
      </x:c>
      <x:c r="B3" s="95" t="str">
        <x:v>Foundation</x:v>
      </x:c>
      <x:c r="C3" s="34" t="str">
        <x:f>IF(COUNTIFS(Connections!$B:$B,$A3,Connections!$C:$C,C$1)&gt;0,1,"")</x:f>
      </x:c>
      <x:c r="D3" s="34" t="str">
        <x:f>IF(COUNTIFS(Connections!$B:$B,$A3,Connections!$C:$C,D$1)&gt;0,1,"")</x:f>
      </x:c>
      <x:c r="E3" s="76" t="n">
        <x:f>IF(COUNTIFS(Connections!$B:$B,$A3,Connections!$C:$C,E$1)&gt;0,1,"")</x:f>
        <x:v>1</x:v>
      </x:c>
      <x:c r="F3" s="34" t="n">
        <x:f>IF(COUNTIFS(Connections!$B:$B,$A3,Connections!$C:$C,F$1)&gt;0,1,"")</x:f>
        <x:v>1</x:v>
      </x:c>
      <x:c r="G3" s="76" t="str">
        <x:f>IF(COUNTIFS(Connections!$B:$B,$A3,Connections!$C:$C,G$1)&gt;0,1,"")</x:f>
      </x:c>
      <x:c r="H3" s="34" t="str">
        <x:f>IF(COUNTIFS(Connections!$B:$B,$A3,Connections!$C:$C,H$1)&gt;0,1,"")</x:f>
      </x:c>
      <x:c r="I3" s="34" t="str">
        <x:f>IF(COUNTIFS(Connections!$B:$B,$A3,Connections!$C:$C,I$1)&gt;0,1,"")</x:f>
      </x:c>
      <x:c r="J3" s="76" t="str">
        <x:f>IF(COUNTIFS(Connections!$B:$B,$A3,Connections!$C:$C,J$1)&gt;0,1,"")</x:f>
      </x:c>
      <x:c r="K3" s="34" t="n">
        <x:f>IF(COUNTIFS(Connections!$B:$B,$A3,Connections!$C:$C,K$1)&gt;0,1,"")</x:f>
        <x:v>1</x:v>
      </x:c>
      <x:c r="L3" s="76" t="str">
        <x:f>IF(COUNTIFS(Connections!$B:$B,$A3,Connections!$C:$C,L$1)&gt;0,1,"")</x:f>
      </x:c>
      <x:c r="M3" s="34" t="n">
        <x:f>IF(COUNTIFS(Connections!$B:$B,$A3,Connections!$C:$C,M$1)&gt;0,1,"")</x:f>
        <x:v>1</x:v>
      </x:c>
      <x:c r="N3" s="34" t="n">
        <x:f>IF(COUNTIFS(Connections!$B:$B,$A3,Connections!$C:$C,N$1)&gt;0,1,"")</x:f>
        <x:v>1</x:v>
      </x:c>
      <x:c r="O3" s="76" t="n">
        <x:f>IF(COUNTIFS(Connections!$B:$B,$A3,Connections!$C:$C,O$1)&gt;0,1,"")</x:f>
        <x:v>1</x:v>
      </x:c>
      <x:c r="P3" s="76" t="str">
        <x:f>IF(COUNTIFS(Connections!$B:$B,$A3,Connections!$C:$C,P$1)&gt;0,1,"")</x:f>
      </x:c>
      <x:c r="Q3" s="76" t="n">
        <x:f>IF(COUNTIFS(Connections!$B:$B,$A3,Connections!$C:$C,Q$1)&gt;0,1,"")</x:f>
        <x:v>1</x:v>
      </x:c>
      <x:c r="R3" s="34" t="n">
        <x:f>IF(COUNTIFS(Connections!$B:$B,$A3,Connections!$C:$C,R$1)&gt;0,1,"")</x:f>
        <x:v>1</x:v>
      </x:c>
      <x:c r="S3" s="76" t="str">
        <x:f>IF(COUNTIFS(Connections!$B:$B,$A3,Connections!$C:$C,S$1)&gt;0,1,"")</x:f>
      </x:c>
      <x:c r="T3" s="34" t="str">
        <x:f>IF(COUNTIFS(Connections!$B:$B,$A3,Connections!$C:$C,T$1)&gt;0,1,"")</x:f>
      </x:c>
      <x:c r="U3" s="34" t="str">
        <x:f>IF(COUNTIFS(Connections!$B:$B,$A3,Connections!$C:$C,U$1)&gt;0,1,"")</x:f>
      </x:c>
      <x:c r="V3" s="34" t="n">
        <x:f>IF(COUNTIFS(Connections!$B:$B,$A3,Connections!$C:$C,V$1)&gt;0,1,"")</x:f>
        <x:v>1</x:v>
      </x:c>
      <x:c r="W3" s="34" t="str">
        <x:f>IF(COUNTIFS(Connections!$B:$B,$A3,Connections!$C:$C,W$1)&gt;0,1,"")</x:f>
      </x:c>
      <x:c r="X3" s="34" t="str">
        <x:f>IF(COUNTIFS(Connections!$B:$B,$A3,Connections!$C:$C,X$1)&gt;0,1,"")</x:f>
      </x:c>
      <x:c r="Y3" s="76" t="str">
        <x:f>IF(COUNTIFS(Connections!$B:$B,$A3,Connections!$C:$C,Y$1)&gt;0,1,"")</x:f>
      </x:c>
      <x:c r="Z3" s="34" t="str">
        <x:f>IF(COUNTIFS(Connections!$B:$B,$A3,Connections!$C:$C,Z$1)&gt;0,1,"")</x:f>
      </x:c>
      <x:c r="AA3" s="34" t="str">
        <x:f>IF(COUNTIFS(Connections!$B:$B,$A3,Connections!$C:$C,AA$1)&gt;0,1,"")</x:f>
      </x:c>
      <x:c r="AB3" s="34" t="str">
        <x:f>IF(COUNTIFS(Connections!$B:$B,$A3,Connections!$C:$C,AB$1)&gt;0,1,"")</x:f>
      </x:c>
      <x:c r="AC3" s="34" t="str">
        <x:f>IF(COUNTIFS(Connections!$B:$B,$A3,Connections!$C:$C,AC$1)&gt;0,1,"")</x:f>
      </x:c>
      <x:c r="AD3" s="34" t="str">
        <x:f>IF(COUNTIFS(Connections!$B:$B,$A3,Connections!$C:$C,AD$1)&gt;0,1,"")</x:f>
      </x:c>
      <x:c r="AE3" s="34" t="str">
        <x:f>IF(COUNTIFS(Connections!$B:$B,$A3,Connections!$C:$C,AE$1)&gt;0,1,"")</x:f>
      </x:c>
      <x:c r="AF3" s="34" t="str">
        <x:f>IF(COUNTIFS(Connections!$B:$B,$A3,Connections!$C:$C,AF$1)&gt;0,1,"")</x:f>
      </x:c>
      <x:c r="AG3" s="34" t="str">
        <x:f>IF(COUNTIFS(Connections!$B:$B,$A3,Connections!$C:$C,AG$1)&gt;0,1,"")</x:f>
      </x:c>
      <x:c r="AH3" s="34" t="str">
        <x:f>IF(COUNTIFS(Connections!$B:$B,$A3,Connections!$C:$C,AH$1)&gt;0,1,"")</x:f>
      </x:c>
      <x:c r="AI3" s="34" t="str">
        <x:f>IF(COUNTIFS(Connections!$B:$B,$A3,Connections!$C:$C,AI$1)&gt;0,1,"")</x:f>
      </x:c>
      <x:c r="AJ3" s="34" t="str">
        <x:f>IF(COUNTIFS(Connections!$B:$B,$A3,Connections!$C:$C,AJ$1)&gt;0,1,"")</x:f>
      </x:c>
      <x:c r="AK3" s="34" t="str">
        <x:f>IF(COUNTIFS(Connections!$B:$B,$A3,Connections!$C:$C,AK$1)&gt;0,1,"")</x:f>
      </x:c>
      <x:c r="AL3" s="34" t="str">
        <x:f>IF(COUNTIFS(Connections!$B:$B,$A3,Connections!$C:$C,AL$1)&gt;0,1,"")</x:f>
      </x:c>
      <x:c r="AM3" s="34" t="str">
        <x:f>IF(COUNTIFS(Connections!$B:$B,$A3,Connections!$C:$C,AM$1)&gt;0,1,"")</x:f>
      </x:c>
      <x:c r="AN3" s="34" t="str">
        <x:f>IF(COUNTIFS(Connections!$B:$B,$A3,Connections!$C:$C,AN$1)&gt;0,1,"")</x:f>
      </x:c>
      <x:c r="AO3" s="34" t="str">
        <x:f>IF(COUNTIFS(Connections!$B:$B,$A3,Connections!$C:$C,AO$1)&gt;0,1,"")</x:f>
      </x:c>
      <x:c r="AP3" s="34" t="str">
        <x:f>IF(COUNTIFS(Connections!$B:$B,$A3,Connections!$C:$C,AP$1)&gt;0,1,"")</x:f>
      </x:c>
      <x:c r="AQ3" s="34" t="str">
        <x:f>IF(COUNTIFS(Connections!$B:$B,$A3,Connections!$C:$C,AQ$1)&gt;0,1,"")</x:f>
      </x:c>
      <x:c r="AR3" s="34" t="str">
        <x:f>IF(COUNTIFS(Connections!$B:$B,$A3,Connections!$C:$C,AR$1)&gt;0,1,"")</x:f>
      </x:c>
      <x:c r="AS3" s="34" t="str">
        <x:f>IF(COUNTIFS(Connections!$B:$B,$A3,Connections!$C:$C,AS$1)&gt;0,1,"")</x:f>
      </x:c>
      <x:c r="AT3" s="34" t="str">
        <x:f>IF(COUNTIFS(Connections!$B:$B,$A3,Connections!$C:$C,AT$1)&gt;0,1,"")</x:f>
      </x:c>
      <x:c r="AU3" s="34" t="str">
        <x:f>IF(COUNTIFS(Connections!$B:$B,$A3,Connections!$C:$C,AU$1)&gt;0,1,"")</x:f>
      </x:c>
      <x:c r="AV3" s="34" t="str">
        <x:f>IF(COUNTIFS(Connections!$B:$B,$A3,Connections!$C:$C,AV$1)&gt;0,1,"")</x:f>
      </x:c>
    </x:row>
    <x:row r="4">
      <x:c r="A4" s="95" t="str">
        <x:v>EndGame</x:v>
      </x:c>
      <x:c r="B4" s="95" t="str">
        <x:v>Foundation</x:v>
      </x:c>
      <x:c r="C4" s="76" t="n">
        <x:f>IF(COUNTIFS(Connections!$B:$B,$A4,Connections!$C:$C,C$1)&gt;0,1,"")</x:f>
        <x:v>1</x:v>
      </x:c>
      <x:c r="D4" s="34" t="str">
        <x:f>IF(COUNTIFS(Connections!$B:$B,$A4,Connections!$C:$C,D$1)&gt;0,1,"")</x:f>
      </x:c>
      <x:c r="E4" s="34" t="str">
        <x:f>IF(COUNTIFS(Connections!$B:$B,$A4,Connections!$C:$C,E$1)&gt;0,1,"")</x:f>
      </x:c>
      <x:c r="F4" s="34" t="str">
        <x:f>IF(COUNTIFS(Connections!$B:$B,$A4,Connections!$C:$C,F$1)&gt;0,1,"")</x:f>
      </x:c>
      <x:c r="G4" s="34" t="str">
        <x:f>IF(COUNTIFS(Connections!$B:$B,$A4,Connections!$C:$C,G$1)&gt;0,1,"")</x:f>
      </x:c>
      <x:c r="H4" s="76" t="n">
        <x:f>IF(COUNTIFS(Connections!$B:$B,$A4,Connections!$C:$C,H$1)&gt;0,1,"")</x:f>
        <x:v>1</x:v>
      </x:c>
      <x:c r="I4" s="34" t="str">
        <x:f>IF(COUNTIFS(Connections!$B:$B,$A4,Connections!$C:$C,I$1)&gt;0,1,"")</x:f>
      </x:c>
      <x:c r="J4" s="34" t="str">
        <x:f>IF(COUNTIFS(Connections!$B:$B,$A4,Connections!$C:$C,J$1)&gt;0,1,"")</x:f>
      </x:c>
      <x:c r="K4" s="34" t="str">
        <x:f>IF(COUNTIFS(Connections!$B:$B,$A4,Connections!$C:$C,K$1)&gt;0,1,"")</x:f>
      </x:c>
      <x:c r="L4" s="34" t="n">
        <x:f>IF(COUNTIFS(Connections!$B:$B,$A4,Connections!$C:$C,L$1)&gt;0,1,"")</x:f>
        <x:v>1</x:v>
      </x:c>
      <x:c r="M4" s="34" t="str">
        <x:f>IF(COUNTIFS(Connections!$B:$B,$A4,Connections!$C:$C,M$1)&gt;0,1,"")</x:f>
      </x:c>
      <x:c r="N4" s="76" t="str">
        <x:f>IF(COUNTIFS(Connections!$B:$B,$A4,Connections!$C:$C,N$1)&gt;0,1,"")</x:f>
      </x:c>
      <x:c r="O4" s="34" t="str">
        <x:f>IF(COUNTIFS(Connections!$B:$B,$A4,Connections!$C:$C,O$1)&gt;0,1,"")</x:f>
      </x:c>
      <x:c r="P4" s="34" t="str">
        <x:f>IF(COUNTIFS(Connections!$B:$B,$A4,Connections!$C:$C,P$1)&gt;0,1,"")</x:f>
      </x:c>
      <x:c r="Q4" s="34" t="str">
        <x:f>IF(COUNTIFS(Connections!$B:$B,$A4,Connections!$C:$C,Q$1)&gt;0,1,"")</x:f>
      </x:c>
      <x:c r="R4" s="76" t="str">
        <x:f>IF(COUNTIFS(Connections!$B:$B,$A4,Connections!$C:$C,R$1)&gt;0,1,"")</x:f>
      </x:c>
      <x:c r="S4" s="34" t="str">
        <x:f>IF(COUNTIFS(Connections!$B:$B,$A4,Connections!$C:$C,S$1)&gt;0,1,"")</x:f>
      </x:c>
      <x:c r="T4" s="34" t="n">
        <x:f>IF(COUNTIFS(Connections!$B:$B,$A4,Connections!$C:$C,T$1)&gt;0,1,"")</x:f>
        <x:v>1</x:v>
      </x:c>
      <x:c r="U4" s="34" t="str">
        <x:f>IF(COUNTIFS(Connections!$B:$B,$A4,Connections!$C:$C,U$1)&gt;0,1,"")</x:f>
      </x:c>
      <x:c r="V4" s="34" t="str">
        <x:f>IF(COUNTIFS(Connections!$B:$B,$A4,Connections!$C:$C,V$1)&gt;0,1,"")</x:f>
      </x:c>
      <x:c r="W4" s="76" t="n">
        <x:f>IF(COUNTIFS(Connections!$B:$B,$A4,Connections!$C:$C,W$1)&gt;0,1,"")</x:f>
        <x:v>1</x:v>
      </x:c>
      <x:c r="X4" s="34" t="str">
        <x:f>IF(COUNTIFS(Connections!$B:$B,$A4,Connections!$C:$C,X$1)&gt;0,1,"")</x:f>
      </x:c>
      <x:c r="Y4" s="34" t="n">
        <x:f>IF(COUNTIFS(Connections!$B:$B,$A4,Connections!$C:$C,Y$1)&gt;0,1,"")</x:f>
        <x:v>1</x:v>
      </x:c>
      <x:c r="Z4" s="34" t="str">
        <x:f>IF(COUNTIFS(Connections!$B:$B,$A4,Connections!$C:$C,Z$1)&gt;0,1,"")</x:f>
      </x:c>
      <x:c r="AA4" s="34" t="str">
        <x:f>IF(COUNTIFS(Connections!$B:$B,$A4,Connections!$C:$C,AA$1)&gt;0,1,"")</x:f>
      </x:c>
      <x:c r="AB4" s="34" t="str">
        <x:f>IF(COUNTIFS(Connections!$B:$B,$A4,Connections!$C:$C,AB$1)&gt;0,1,"")</x:f>
      </x:c>
      <x:c r="AC4" s="34" t="str">
        <x:f>IF(COUNTIFS(Connections!$B:$B,$A4,Connections!$C:$C,AC$1)&gt;0,1,"")</x:f>
      </x:c>
      <x:c r="AD4" s="34" t="str">
        <x:f>IF(COUNTIFS(Connections!$B:$B,$A4,Connections!$C:$C,AD$1)&gt;0,1,"")</x:f>
      </x:c>
      <x:c r="AE4" s="34" t="str">
        <x:f>IF(COUNTIFS(Connections!$B:$B,$A4,Connections!$C:$C,AE$1)&gt;0,1,"")</x:f>
      </x:c>
      <x:c r="AF4" s="34" t="str">
        <x:f>IF(COUNTIFS(Connections!$B:$B,$A4,Connections!$C:$C,AF$1)&gt;0,1,"")</x:f>
      </x:c>
      <x:c r="AG4" s="76" t="str">
        <x:f>IF(COUNTIFS(Connections!$B:$B,$A4,Connections!$C:$C,AG$1)&gt;0,1,"")</x:f>
      </x:c>
      <x:c r="AH4" s="34" t="str">
        <x:f>IF(COUNTIFS(Connections!$B:$B,$A4,Connections!$C:$C,AH$1)&gt;0,1,"")</x:f>
      </x:c>
      <x:c r="AI4" s="34" t="str">
        <x:f>IF(COUNTIFS(Connections!$B:$B,$A4,Connections!$C:$C,AI$1)&gt;0,1,"")</x:f>
      </x:c>
      <x:c r="AJ4" s="34" t="str">
        <x:f>IF(COUNTIFS(Connections!$B:$B,$A4,Connections!$C:$C,AJ$1)&gt;0,1,"")</x:f>
      </x:c>
      <x:c r="AK4" s="34" t="str">
        <x:f>IF(COUNTIFS(Connections!$B:$B,$A4,Connections!$C:$C,AK$1)&gt;0,1,"")</x:f>
      </x:c>
      <x:c r="AL4" s="34" t="str">
        <x:f>IF(COUNTIFS(Connections!$B:$B,$A4,Connections!$C:$C,AL$1)&gt;0,1,"")</x:f>
      </x:c>
      <x:c r="AM4" s="34" t="str">
        <x:f>IF(COUNTIFS(Connections!$B:$B,$A4,Connections!$C:$C,AM$1)&gt;0,1,"")</x:f>
      </x:c>
      <x:c r="AN4" s="34" t="str">
        <x:f>IF(COUNTIFS(Connections!$B:$B,$A4,Connections!$C:$C,AN$1)&gt;0,1,"")</x:f>
      </x:c>
      <x:c r="AO4" s="76" t="str">
        <x:f>IF(COUNTIFS(Connections!$B:$B,$A4,Connections!$C:$C,AO$1)&gt;0,1,"")</x:f>
      </x:c>
      <x:c r="AP4" s="34" t="str">
        <x:f>IF(COUNTIFS(Connections!$B:$B,$A4,Connections!$C:$C,AP$1)&gt;0,1,"")</x:f>
      </x:c>
      <x:c r="AQ4" s="34" t="str">
        <x:f>IF(COUNTIFS(Connections!$B:$B,$A4,Connections!$C:$C,AQ$1)&gt;0,1,"")</x:f>
      </x:c>
      <x:c r="AR4" s="34" t="n">
        <x:f>IF(COUNTIFS(Connections!$B:$B,$A4,Connections!$C:$C,AR$1)&gt;0,1,"")</x:f>
        <x:v>1</x:v>
      </x:c>
      <x:c r="AS4" s="34" t="str">
        <x:f>IF(COUNTIFS(Connections!$B:$B,$A4,Connections!$C:$C,AS$1)&gt;0,1,"")</x:f>
      </x:c>
      <x:c r="AT4" s="34" t="str">
        <x:f>IF(COUNTIFS(Connections!$B:$B,$A4,Connections!$C:$C,AT$1)&gt;0,1,"")</x:f>
      </x:c>
      <x:c r="AU4" s="34" t="str">
        <x:f>IF(COUNTIFS(Connections!$B:$B,$A4,Connections!$C:$C,AU$1)&gt;0,1,"")</x:f>
      </x:c>
      <x:c r="AV4" s="34" t="str">
        <x:f>IF(COUNTIFS(Connections!$B:$B,$A4,Connections!$C:$C,AV$1)&gt;0,1,"")</x:f>
      </x:c>
    </x:row>
    <x:row r="5">
      <x:c r="A5" s="95" t="str">
        <x:v>How Long Is a Thought?</x:v>
      </x:c>
      <x:c r="B5" s="95" t="str">
        <x:v>Foundation</x:v>
      </x:c>
      <x:c r="C5" s="76" t="n">
        <x:f>IF(COUNTIFS(Connections!$B:$B,$A5,Connections!$C:$C,C$1)&gt;0,1,"")</x:f>
        <x:v>1</x:v>
      </x:c>
      <x:c r="D5" s="76" t="n">
        <x:f>IF(COUNTIFS(Connections!$B:$B,$A5,Connections!$C:$C,D$1)&gt;0,1,"")</x:f>
        <x:v>1</x:v>
      </x:c>
      <x:c r="E5" s="34" t="str">
        <x:f>IF(COUNTIFS(Connections!$B:$B,$A5,Connections!$C:$C,E$1)&gt;0,1,"")</x:f>
      </x:c>
      <x:c r="F5" s="34" t="str">
        <x:f>IF(COUNTIFS(Connections!$B:$B,$A5,Connections!$C:$C,F$1)&gt;0,1,"")</x:f>
      </x:c>
      <x:c r="G5" s="34" t="str">
        <x:f>IF(COUNTIFS(Connections!$B:$B,$A5,Connections!$C:$C,G$1)&gt;0,1,"")</x:f>
      </x:c>
      <x:c r="H5" s="76" t="n">
        <x:f>IF(COUNTIFS(Connections!$B:$B,$A5,Connections!$C:$C,H$1)&gt;0,1,"")</x:f>
        <x:v>1</x:v>
      </x:c>
      <x:c r="I5" s="34" t="str">
        <x:f>IF(COUNTIFS(Connections!$B:$B,$A5,Connections!$C:$C,I$1)&gt;0,1,"")</x:f>
      </x:c>
      <x:c r="J5" s="34" t="str">
        <x:f>IF(COUNTIFS(Connections!$B:$B,$A5,Connections!$C:$C,J$1)&gt;0,1,"")</x:f>
      </x:c>
      <x:c r="K5" s="34" t="str">
        <x:f>IF(COUNTIFS(Connections!$B:$B,$A5,Connections!$C:$C,K$1)&gt;0,1,"")</x:f>
      </x:c>
      <x:c r="L5" s="34" t="str">
        <x:f>IF(COUNTIFS(Connections!$B:$B,$A5,Connections!$C:$C,L$1)&gt;0,1,"")</x:f>
      </x:c>
      <x:c r="M5" s="76" t="str">
        <x:f>IF(COUNTIFS(Connections!$B:$B,$A5,Connections!$C:$C,M$1)&gt;0,1,"")</x:f>
      </x:c>
      <x:c r="N5" s="76" t="str">
        <x:f>IF(COUNTIFS(Connections!$B:$B,$A5,Connections!$C:$C,N$1)&gt;0,1,"")</x:f>
      </x:c>
      <x:c r="O5" s="34" t="str">
        <x:f>IF(COUNTIFS(Connections!$B:$B,$A5,Connections!$C:$C,O$1)&gt;0,1,"")</x:f>
      </x:c>
      <x:c r="P5" s="34" t="n">
        <x:f>IF(COUNTIFS(Connections!$B:$B,$A5,Connections!$C:$C,P$1)&gt;0,1,"")</x:f>
        <x:v>1</x:v>
      </x:c>
      <x:c r="Q5" s="34" t="str">
        <x:f>IF(COUNTIFS(Connections!$B:$B,$A5,Connections!$C:$C,Q$1)&gt;0,1,"")</x:f>
      </x:c>
      <x:c r="R5" s="34" t="str">
        <x:f>IF(COUNTIFS(Connections!$B:$B,$A5,Connections!$C:$C,R$1)&gt;0,1,"")</x:f>
      </x:c>
      <x:c r="S5" s="34" t="str">
        <x:f>IF(COUNTIFS(Connections!$B:$B,$A5,Connections!$C:$C,S$1)&gt;0,1,"")</x:f>
      </x:c>
      <x:c r="T5" s="34" t="n">
        <x:f>IF(COUNTIFS(Connections!$B:$B,$A5,Connections!$C:$C,T$1)&gt;0,1,"")</x:f>
        <x:v>1</x:v>
      </x:c>
      <x:c r="U5" s="34" t="str">
        <x:f>IF(COUNTIFS(Connections!$B:$B,$A5,Connections!$C:$C,U$1)&gt;0,1,"")</x:f>
      </x:c>
      <x:c r="V5" s="34" t="str">
        <x:f>IF(COUNTIFS(Connections!$B:$B,$A5,Connections!$C:$C,V$1)&gt;0,1,"")</x:f>
      </x:c>
      <x:c r="W5" s="34" t="str">
        <x:f>IF(COUNTIFS(Connections!$B:$B,$A5,Connections!$C:$C,W$1)&gt;0,1,"")</x:f>
      </x:c>
      <x:c r="X5" s="76" t="str">
        <x:f>IF(COUNTIFS(Connections!$B:$B,$A5,Connections!$C:$C,X$1)&gt;0,1,"")</x:f>
      </x:c>
      <x:c r="Y5" s="34" t="str">
        <x:f>IF(COUNTIFS(Connections!$B:$B,$A5,Connections!$C:$C,Y$1)&gt;0,1,"")</x:f>
      </x:c>
      <x:c r="Z5" s="34" t="n">
        <x:f>IF(COUNTIFS(Connections!$B:$B,$A5,Connections!$C:$C,Z$1)&gt;0,1,"")</x:f>
        <x:v>1</x:v>
      </x:c>
      <x:c r="AA5" s="34" t="str">
        <x:f>IF(COUNTIFS(Connections!$B:$B,$A5,Connections!$C:$C,AA$1)&gt;0,1,"")</x:f>
      </x:c>
      <x:c r="AB5" s="34" t="n">
        <x:f>IF(COUNTIFS(Connections!$B:$B,$A5,Connections!$C:$C,AB$1)&gt;0,1,"")</x:f>
        <x:v>1</x:v>
      </x:c>
      <x:c r="AC5" s="34" t="str">
        <x:f>IF(COUNTIFS(Connections!$B:$B,$A5,Connections!$C:$C,AC$1)&gt;0,1,"")</x:f>
      </x:c>
      <x:c r="AD5" s="34" t="str">
        <x:f>IF(COUNTIFS(Connections!$B:$B,$A5,Connections!$C:$C,AD$1)&gt;0,1,"")</x:f>
      </x:c>
      <x:c r="AE5" s="34" t="str">
        <x:f>IF(COUNTIFS(Connections!$B:$B,$A5,Connections!$C:$C,AE$1)&gt;0,1,"")</x:f>
      </x:c>
      <x:c r="AF5" s="34" t="str">
        <x:f>IF(COUNTIFS(Connections!$B:$B,$A5,Connections!$C:$C,AF$1)&gt;0,1,"")</x:f>
      </x:c>
      <x:c r="AG5" s="34" t="str">
        <x:f>IF(COUNTIFS(Connections!$B:$B,$A5,Connections!$C:$C,AG$1)&gt;0,1,"")</x:f>
      </x:c>
      <x:c r="AH5" s="76" t="str">
        <x:f>IF(COUNTIFS(Connections!$B:$B,$A5,Connections!$C:$C,AH$1)&gt;0,1,"")</x:f>
      </x:c>
      <x:c r="AI5" s="34" t="str">
        <x:f>IF(COUNTIFS(Connections!$B:$B,$A5,Connections!$C:$C,AI$1)&gt;0,1,"")</x:f>
      </x:c>
      <x:c r="AJ5" s="34" t="str">
        <x:f>IF(COUNTIFS(Connections!$B:$B,$A5,Connections!$C:$C,AJ$1)&gt;0,1,"")</x:f>
      </x:c>
      <x:c r="AK5" s="34" t="str">
        <x:f>IF(COUNTIFS(Connections!$B:$B,$A5,Connections!$C:$C,AK$1)&gt;0,1,"")</x:f>
      </x:c>
      <x:c r="AL5" s="34" t="str">
        <x:f>IF(COUNTIFS(Connections!$B:$B,$A5,Connections!$C:$C,AL$1)&gt;0,1,"")</x:f>
      </x:c>
      <x:c r="AM5" s="34" t="str">
        <x:f>IF(COUNTIFS(Connections!$B:$B,$A5,Connections!$C:$C,AM$1)&gt;0,1,"")</x:f>
      </x:c>
      <x:c r="AN5" s="34" t="str">
        <x:f>IF(COUNTIFS(Connections!$B:$B,$A5,Connections!$C:$C,AN$1)&gt;0,1,"")</x:f>
      </x:c>
      <x:c r="AO5" s="34" t="str">
        <x:f>IF(COUNTIFS(Connections!$B:$B,$A5,Connections!$C:$C,AO$1)&gt;0,1,"")</x:f>
      </x:c>
      <x:c r="AP5" s="34" t="str">
        <x:f>IF(COUNTIFS(Connections!$B:$B,$A5,Connections!$C:$C,AP$1)&gt;0,1,"")</x:f>
      </x:c>
      <x:c r="AQ5" s="34" t="str">
        <x:f>IF(COUNTIFS(Connections!$B:$B,$A5,Connections!$C:$C,AQ$1)&gt;0,1,"")</x:f>
      </x:c>
      <x:c r="AR5" s="34" t="str">
        <x:f>IF(COUNTIFS(Connections!$B:$B,$A5,Connections!$C:$C,AR$1)&gt;0,1,"")</x:f>
      </x:c>
      <x:c r="AS5" s="34" t="str">
        <x:f>IF(COUNTIFS(Connections!$B:$B,$A5,Connections!$C:$C,AS$1)&gt;0,1,"")</x:f>
      </x:c>
      <x:c r="AT5" s="34" t="str">
        <x:f>IF(COUNTIFS(Connections!$B:$B,$A5,Connections!$C:$C,AT$1)&gt;0,1,"")</x:f>
      </x:c>
      <x:c r="AU5" s="34" t="str">
        <x:f>IF(COUNTIFS(Connections!$B:$B,$A5,Connections!$C:$C,AU$1)&gt;0,1,"")</x:f>
      </x:c>
      <x:c r="AV5" s="34" t="str">
        <x:f>IF(COUNTIFS(Connections!$B:$B,$A5,Connections!$C:$C,AV$1)&gt;0,1,"")</x:f>
      </x:c>
    </x:row>
    <x:row r="6">
      <x:c r="A6" s="95" t="str">
        <x:v>Icarus</x:v>
      </x:c>
      <x:c r="B6" s="95" t="str">
        <x:v>Foundation</x:v>
      </x:c>
      <x:c r="C6" s="34" t="str">
        <x:f>IF(COUNTIFS(Connections!$B:$B,$A6,Connections!$C:$C,C$1)&gt;0,1,"")</x:f>
      </x:c>
      <x:c r="D6" s="76" t="n">
        <x:f>IF(COUNTIFS(Connections!$B:$B,$A6,Connections!$C:$C,D$1)&gt;0,1,"")</x:f>
        <x:v>1</x:v>
      </x:c>
      <x:c r="E6" s="34" t="str">
        <x:f>IF(COUNTIFS(Connections!$B:$B,$A6,Connections!$C:$C,E$1)&gt;0,1,"")</x:f>
      </x:c>
      <x:c r="F6" s="34" t="str">
        <x:f>IF(COUNTIFS(Connections!$B:$B,$A6,Connections!$C:$C,F$1)&gt;0,1,"")</x:f>
      </x:c>
      <x:c r="G6" s="34" t="str">
        <x:f>IF(COUNTIFS(Connections!$B:$B,$A6,Connections!$C:$C,G$1)&gt;0,1,"")</x:f>
      </x:c>
      <x:c r="H6" s="34" t="str">
        <x:f>IF(COUNTIFS(Connections!$B:$B,$A6,Connections!$C:$C,H$1)&gt;0,1,"")</x:f>
      </x:c>
      <x:c r="I6" s="76" t="n">
        <x:f>IF(COUNTIFS(Connections!$B:$B,$A6,Connections!$C:$C,I$1)&gt;0,1,"")</x:f>
        <x:v>1</x:v>
      </x:c>
      <x:c r="J6" s="34" t="str">
        <x:f>IF(COUNTIFS(Connections!$B:$B,$A6,Connections!$C:$C,J$1)&gt;0,1,"")</x:f>
      </x:c>
      <x:c r="K6" s="34" t="n">
        <x:f>IF(COUNTIFS(Connections!$B:$B,$A6,Connections!$C:$C,K$1)&gt;0,1,"")</x:f>
        <x:v>1</x:v>
      </x:c>
      <x:c r="L6" s="76" t="str">
        <x:f>IF(COUNTIFS(Connections!$B:$B,$A6,Connections!$C:$C,L$1)&gt;0,1,"")</x:f>
      </x:c>
      <x:c r="M6" s="34" t="str">
        <x:f>IF(COUNTIFS(Connections!$B:$B,$A6,Connections!$C:$C,M$1)&gt;0,1,"")</x:f>
      </x:c>
      <x:c r="N6" s="34" t="str">
        <x:f>IF(COUNTIFS(Connections!$B:$B,$A6,Connections!$C:$C,N$1)&gt;0,1,"")</x:f>
      </x:c>
      <x:c r="O6" s="34" t="str">
        <x:f>IF(COUNTIFS(Connections!$B:$B,$A6,Connections!$C:$C,O$1)&gt;0,1,"")</x:f>
      </x:c>
      <x:c r="P6" s="34" t="str">
        <x:f>IF(COUNTIFS(Connections!$B:$B,$A6,Connections!$C:$C,P$1)&gt;0,1,"")</x:f>
      </x:c>
      <x:c r="Q6" s="34" t="n">
        <x:f>IF(COUNTIFS(Connections!$B:$B,$A6,Connections!$C:$C,Q$1)&gt;0,1,"")</x:f>
        <x:v>1</x:v>
      </x:c>
      <x:c r="R6" s="34" t="n">
        <x:f>IF(COUNTIFS(Connections!$B:$B,$A6,Connections!$C:$C,R$1)&gt;0,1,"")</x:f>
        <x:v>1</x:v>
      </x:c>
      <x:c r="S6" s="76" t="str">
        <x:f>IF(COUNTIFS(Connections!$B:$B,$A6,Connections!$C:$C,S$1)&gt;0,1,"")</x:f>
      </x:c>
      <x:c r="T6" s="34" t="str">
        <x:f>IF(COUNTIFS(Connections!$B:$B,$A6,Connections!$C:$C,T$1)&gt;0,1,"")</x:f>
      </x:c>
      <x:c r="U6" s="34" t="str">
        <x:f>IF(COUNTIFS(Connections!$B:$B,$A6,Connections!$C:$C,U$1)&gt;0,1,"")</x:f>
      </x:c>
      <x:c r="V6" s="34" t="str">
        <x:f>IF(COUNTIFS(Connections!$B:$B,$A6,Connections!$C:$C,V$1)&gt;0,1,"")</x:f>
      </x:c>
      <x:c r="W6" s="34" t="str">
        <x:f>IF(COUNTIFS(Connections!$B:$B,$A6,Connections!$C:$C,W$1)&gt;0,1,"")</x:f>
      </x:c>
      <x:c r="X6" s="34" t="str">
        <x:f>IF(COUNTIFS(Connections!$B:$B,$A6,Connections!$C:$C,X$1)&gt;0,1,"")</x:f>
      </x:c>
      <x:c r="Y6" s="76" t="str">
        <x:f>IF(COUNTIFS(Connections!$B:$B,$A6,Connections!$C:$C,Y$1)&gt;0,1,"")</x:f>
      </x:c>
      <x:c r="Z6" s="34" t="str">
        <x:f>IF(COUNTIFS(Connections!$B:$B,$A6,Connections!$C:$C,Z$1)&gt;0,1,"")</x:f>
      </x:c>
      <x:c r="AA6" s="34" t="n">
        <x:f>IF(COUNTIFS(Connections!$B:$B,$A6,Connections!$C:$C,AA$1)&gt;0,1,"")</x:f>
        <x:v>1</x:v>
      </x:c>
      <x:c r="AB6" s="76" t="str">
        <x:f>IF(COUNTIFS(Connections!$B:$B,$A6,Connections!$C:$C,AB$1)&gt;0,1,"")</x:f>
      </x:c>
      <x:c r="AC6" s="76" t="str">
        <x:f>IF(COUNTIFS(Connections!$B:$B,$A6,Connections!$C:$C,AC$1)&gt;0,1,"")</x:f>
      </x:c>
      <x:c r="AD6" s="34" t="str">
        <x:f>IF(COUNTIFS(Connections!$B:$B,$A6,Connections!$C:$C,AD$1)&gt;0,1,"")</x:f>
      </x:c>
      <x:c r="AE6" s="34" t="str">
        <x:f>IF(COUNTIFS(Connections!$B:$B,$A6,Connections!$C:$C,AE$1)&gt;0,1,"")</x:f>
      </x:c>
      <x:c r="AF6" s="34" t="n">
        <x:f>IF(COUNTIFS(Connections!$B:$B,$A6,Connections!$C:$C,AF$1)&gt;0,1,"")</x:f>
        <x:v>1</x:v>
      </x:c>
      <x:c r="AG6" s="34" t="n">
        <x:f>IF(COUNTIFS(Connections!$B:$B,$A6,Connections!$C:$C,AG$1)&gt;0,1,"")</x:f>
        <x:v>1</x:v>
      </x:c>
      <x:c r="AH6" s="34" t="str">
        <x:f>IF(COUNTIFS(Connections!$B:$B,$A6,Connections!$C:$C,AH$1)&gt;0,1,"")</x:f>
      </x:c>
      <x:c r="AI6" s="34" t="str">
        <x:f>IF(COUNTIFS(Connections!$B:$B,$A6,Connections!$C:$C,AI$1)&gt;0,1,"")</x:f>
      </x:c>
      <x:c r="AJ6" s="76" t="str">
        <x:f>IF(COUNTIFS(Connections!$B:$B,$A6,Connections!$C:$C,AJ$1)&gt;0,1,"")</x:f>
      </x:c>
      <x:c r="AK6" s="76" t="str">
        <x:f>IF(COUNTIFS(Connections!$B:$B,$A6,Connections!$C:$C,AK$1)&gt;0,1,"")</x:f>
      </x:c>
      <x:c r="AL6" s="34" t="n">
        <x:f>IF(COUNTIFS(Connections!$B:$B,$A6,Connections!$C:$C,AL$1)&gt;0,1,"")</x:f>
        <x:v>1</x:v>
      </x:c>
      <x:c r="AM6" s="34" t="n">
        <x:f>IF(COUNTIFS(Connections!$B:$B,$A6,Connections!$C:$C,AM$1)&gt;0,1,"")</x:f>
        <x:v>1</x:v>
      </x:c>
      <x:c r="AN6" s="76" t="str">
        <x:f>IF(COUNTIFS(Connections!$B:$B,$A6,Connections!$C:$C,AN$1)&gt;0,1,"")</x:f>
      </x:c>
      <x:c r="AO6" s="34" t="str">
        <x:f>IF(COUNTIFS(Connections!$B:$B,$A6,Connections!$C:$C,AO$1)&gt;0,1,"")</x:f>
      </x:c>
      <x:c r="AP6" s="76" t="n">
        <x:f>IF(COUNTIFS(Connections!$B:$B,$A6,Connections!$C:$C,AP$1)&gt;0,1,"")</x:f>
        <x:v>1</x:v>
      </x:c>
      <x:c r="AQ6" s="34" t="str">
        <x:f>IF(COUNTIFS(Connections!$B:$B,$A6,Connections!$C:$C,AQ$1)&gt;0,1,"")</x:f>
      </x:c>
      <x:c r="AR6" s="76" t="str">
        <x:f>IF(COUNTIFS(Connections!$B:$B,$A6,Connections!$C:$C,AR$1)&gt;0,1,"")</x:f>
      </x:c>
      <x:c r="AS6" s="34" t="str">
        <x:f>IF(COUNTIFS(Connections!$B:$B,$A6,Connections!$C:$C,AS$1)&gt;0,1,"")</x:f>
      </x:c>
      <x:c r="AT6" s="34" t="str">
        <x:f>IF(COUNTIFS(Connections!$B:$B,$A6,Connections!$C:$C,AT$1)&gt;0,1,"")</x:f>
      </x:c>
      <x:c r="AU6" s="34" t="n">
        <x:f>IF(COUNTIFS(Connections!$B:$B,$A6,Connections!$C:$C,AU$1)&gt;0,1,"")</x:f>
        <x:v>1</x:v>
      </x:c>
      <x:c r="AV6" s="34" t="str">
        <x:f>IF(COUNTIFS(Connections!$B:$B,$A6,Connections!$C:$C,AV$1)&gt;0,1,"")</x:f>
      </x:c>
    </x:row>
    <x:row r="7">
      <x:c r="A7" s="95" t="str">
        <x:v>Squirrel</x:v>
      </x:c>
      <x:c r="B7" s="95" t="str">
        <x:v>Foundation</x:v>
      </x:c>
      <x:c r="C7" s="76" t="n">
        <x:f>IF(COUNTIFS(Connections!$B:$B,$A7,Connections!$C:$C,C$1)&gt;0,1,"")</x:f>
        <x:v>1</x:v>
      </x:c>
      <x:c r="D7" s="34" t="str">
        <x:f>IF(COUNTIFS(Connections!$B:$B,$A7,Connections!$C:$C,D$1)&gt;0,1,"")</x:f>
      </x:c>
      <x:c r="E7" s="34" t="n">
        <x:f>IF(COUNTIFS(Connections!$B:$B,$A7,Connections!$C:$C,E$1)&gt;0,1,"")</x:f>
        <x:v>1</x:v>
      </x:c>
      <x:c r="F7" s="76" t="str">
        <x:f>IF(COUNTIFS(Connections!$B:$B,$A7,Connections!$C:$C,F$1)&gt;0,1,"")</x:f>
      </x:c>
      <x:c r="G7" s="76" t="n">
        <x:f>IF(COUNTIFS(Connections!$B:$B,$A7,Connections!$C:$C,G$1)&gt;0,1,"")</x:f>
        <x:v>1</x:v>
      </x:c>
      <x:c r="H7" s="76" t="n">
        <x:f>IF(COUNTIFS(Connections!$B:$B,$A7,Connections!$C:$C,H$1)&gt;0,1,"")</x:f>
        <x:v>1</x:v>
      </x:c>
      <x:c r="I7" s="76" t="n">
        <x:f>IF(COUNTIFS(Connections!$B:$B,$A7,Connections!$C:$C,I$1)&gt;0,1,"")</x:f>
        <x:v>1</x:v>
      </x:c>
      <x:c r="J7" s="34" t="n">
        <x:f>IF(COUNTIFS(Connections!$B:$B,$A7,Connections!$C:$C,J$1)&gt;0,1,"")</x:f>
        <x:v>1</x:v>
      </x:c>
      <x:c r="K7" s="76" t="str">
        <x:f>IF(COUNTIFS(Connections!$B:$B,$A7,Connections!$C:$C,K$1)&gt;0,1,"")</x:f>
      </x:c>
      <x:c r="L7" s="34" t="str">
        <x:f>IF(COUNTIFS(Connections!$B:$B,$A7,Connections!$C:$C,L$1)&gt;0,1,"")</x:f>
      </x:c>
      <x:c r="M7" s="34" t="str">
        <x:f>IF(COUNTIFS(Connections!$B:$B,$A7,Connections!$C:$C,M$1)&gt;0,1,"")</x:f>
      </x:c>
      <x:c r="N7" s="34" t="str">
        <x:f>IF(COUNTIFS(Connections!$B:$B,$A7,Connections!$C:$C,N$1)&gt;0,1,"")</x:f>
      </x:c>
      <x:c r="O7" s="34" t="n">
        <x:f>IF(COUNTIFS(Connections!$B:$B,$A7,Connections!$C:$C,O$1)&gt;0,1,"")</x:f>
        <x:v>1</x:v>
      </x:c>
      <x:c r="P7" s="76" t="str">
        <x:f>IF(COUNTIFS(Connections!$B:$B,$A7,Connections!$C:$C,P$1)&gt;0,1,"")</x:f>
      </x:c>
      <x:c r="Q7" s="34" t="str">
        <x:f>IF(COUNTIFS(Connections!$B:$B,$A7,Connections!$C:$C,Q$1)&gt;0,1,"")</x:f>
      </x:c>
      <x:c r="R7" s="34" t="str">
        <x:f>IF(COUNTIFS(Connections!$B:$B,$A7,Connections!$C:$C,R$1)&gt;0,1,"")</x:f>
      </x:c>
      <x:c r="S7" s="34" t="n">
        <x:f>IF(COUNTIFS(Connections!$B:$B,$A7,Connections!$C:$C,S$1)&gt;0,1,"")</x:f>
        <x:v>1</x:v>
      </x:c>
      <x:c r="T7" s="76" t="str">
        <x:f>IF(COUNTIFS(Connections!$B:$B,$A7,Connections!$C:$C,T$1)&gt;0,1,"")</x:f>
      </x:c>
      <x:c r="U7" s="34" t="str">
        <x:f>IF(COUNTIFS(Connections!$B:$B,$A7,Connections!$C:$C,U$1)&gt;0,1,"")</x:f>
      </x:c>
      <x:c r="V7" s="34" t="str">
        <x:f>IF(COUNTIFS(Connections!$B:$B,$A7,Connections!$C:$C,V$1)&gt;0,1,"")</x:f>
      </x:c>
      <x:c r="W7" s="34" t="str">
        <x:f>IF(COUNTIFS(Connections!$B:$B,$A7,Connections!$C:$C,W$1)&gt;0,1,"")</x:f>
      </x:c>
      <x:c r="X7" s="34" t="str">
        <x:f>IF(COUNTIFS(Connections!$B:$B,$A7,Connections!$C:$C,X$1)&gt;0,1,"")</x:f>
      </x:c>
      <x:c r="Y7" s="34" t="str">
        <x:f>IF(COUNTIFS(Connections!$B:$B,$A7,Connections!$C:$C,Y$1)&gt;0,1,"")</x:f>
      </x:c>
      <x:c r="Z7" s="34" t="str">
        <x:f>IF(COUNTIFS(Connections!$B:$B,$A7,Connections!$C:$C,Z$1)&gt;0,1,"")</x:f>
      </x:c>
      <x:c r="AA7" s="34" t="str">
        <x:f>IF(COUNTIFS(Connections!$B:$B,$A7,Connections!$C:$C,AA$1)&gt;0,1,"")</x:f>
      </x:c>
      <x:c r="AB7" s="34" t="str">
        <x:f>IF(COUNTIFS(Connections!$B:$B,$A7,Connections!$C:$C,AB$1)&gt;0,1,"")</x:f>
      </x:c>
      <x:c r="AC7" s="34" t="str">
        <x:f>IF(COUNTIFS(Connections!$B:$B,$A7,Connections!$C:$C,AC$1)&gt;0,1,"")</x:f>
      </x:c>
      <x:c r="AD7" s="34" t="str">
        <x:f>IF(COUNTIFS(Connections!$B:$B,$A7,Connections!$C:$C,AD$1)&gt;0,1,"")</x:f>
      </x:c>
      <x:c r="AE7" s="34" t="str">
        <x:f>IF(COUNTIFS(Connections!$B:$B,$A7,Connections!$C:$C,AE$1)&gt;0,1,"")</x:f>
      </x:c>
      <x:c r="AF7" s="34" t="str">
        <x:f>IF(COUNTIFS(Connections!$B:$B,$A7,Connections!$C:$C,AF$1)&gt;0,1,"")</x:f>
      </x:c>
      <x:c r="AG7" s="34" t="str">
        <x:f>IF(COUNTIFS(Connections!$B:$B,$A7,Connections!$C:$C,AG$1)&gt;0,1,"")</x:f>
      </x:c>
      <x:c r="AH7" s="34" t="str">
        <x:f>IF(COUNTIFS(Connections!$B:$B,$A7,Connections!$C:$C,AH$1)&gt;0,1,"")</x:f>
      </x:c>
      <x:c r="AI7" s="34" t="str">
        <x:f>IF(COUNTIFS(Connections!$B:$B,$A7,Connections!$C:$C,AI$1)&gt;0,1,"")</x:f>
      </x:c>
      <x:c r="AJ7" s="34" t="str">
        <x:f>IF(COUNTIFS(Connections!$B:$B,$A7,Connections!$C:$C,AJ$1)&gt;0,1,"")</x:f>
      </x:c>
      <x:c r="AK7" s="34" t="str">
        <x:f>IF(COUNTIFS(Connections!$B:$B,$A7,Connections!$C:$C,AK$1)&gt;0,1,"")</x:f>
      </x:c>
      <x:c r="AL7" s="34" t="str">
        <x:f>IF(COUNTIFS(Connections!$B:$B,$A7,Connections!$C:$C,AL$1)&gt;0,1,"")</x:f>
      </x:c>
      <x:c r="AM7" s="34" t="str">
        <x:f>IF(COUNTIFS(Connections!$B:$B,$A7,Connections!$C:$C,AM$1)&gt;0,1,"")</x:f>
      </x:c>
      <x:c r="AN7" s="34" t="str">
        <x:f>IF(COUNTIFS(Connections!$B:$B,$A7,Connections!$C:$C,AN$1)&gt;0,1,"")</x:f>
      </x:c>
      <x:c r="AO7" s="34" t="str">
        <x:f>IF(COUNTIFS(Connections!$B:$B,$A7,Connections!$C:$C,AO$1)&gt;0,1,"")</x:f>
      </x:c>
      <x:c r="AP7" s="34" t="str">
        <x:f>IF(COUNTIFS(Connections!$B:$B,$A7,Connections!$C:$C,AP$1)&gt;0,1,"")</x:f>
      </x:c>
      <x:c r="AQ7" s="34" t="str">
        <x:f>IF(COUNTIFS(Connections!$B:$B,$A7,Connections!$C:$C,AQ$1)&gt;0,1,"")</x:f>
      </x:c>
      <x:c r="AR7" s="34" t="str">
        <x:f>IF(COUNTIFS(Connections!$B:$B,$A7,Connections!$C:$C,AR$1)&gt;0,1,"")</x:f>
      </x:c>
      <x:c r="AS7" s="34" t="str">
        <x:f>IF(COUNTIFS(Connections!$B:$B,$A7,Connections!$C:$C,AS$1)&gt;0,1,"")</x:f>
      </x:c>
      <x:c r="AT7" s="34" t="str">
        <x:f>IF(COUNTIFS(Connections!$B:$B,$A7,Connections!$C:$C,AT$1)&gt;0,1,"")</x:f>
      </x:c>
      <x:c r="AU7" s="34" t="str">
        <x:f>IF(COUNTIFS(Connections!$B:$B,$A7,Connections!$C:$C,AU$1)&gt;0,1,"")</x:f>
      </x:c>
      <x:c r="AV7" s="34" t="str">
        <x:f>IF(COUNTIFS(Connections!$B:$B,$A7,Connections!$C:$C,AV$1)&gt;0,1,"")</x:f>
      </x:c>
    </x:row>
    <x:row r="8">
      <x:c r="A8" s="95" t="str">
        <x:v>Time</x:v>
      </x:c>
      <x:c r="B8" s="95" t="str">
        <x:v>Foundation</x:v>
      </x:c>
      <x:c r="C8" s="76" t="n">
        <x:f>IF(COUNTIFS(Connections!$B:$B,$A8,Connections!$C:$C,C$1)&gt;0,1,"")</x:f>
        <x:v>1</x:v>
      </x:c>
      <x:c r="D8" s="76" t="n">
        <x:f>IF(COUNTIFS(Connections!$B:$B,$A8,Connections!$C:$C,D$1)&gt;0,1,"")</x:f>
        <x:v>1</x:v>
      </x:c>
      <x:c r="E8" s="76" t="str">
        <x:f>IF(COUNTIFS(Connections!$B:$B,$A8,Connections!$C:$C,E$1)&gt;0,1,"")</x:f>
      </x:c>
      <x:c r="F8" s="34" t="n">
        <x:f>IF(COUNTIFS(Connections!$B:$B,$A8,Connections!$C:$C,F$1)&gt;0,1,"")</x:f>
        <x:v>1</x:v>
      </x:c>
      <x:c r="G8" s="34" t="str">
        <x:f>IF(COUNTIFS(Connections!$B:$B,$A8,Connections!$C:$C,G$1)&gt;0,1,"")</x:f>
      </x:c>
      <x:c r="H8" s="76" t="n">
        <x:f>IF(COUNTIFS(Connections!$B:$B,$A8,Connections!$C:$C,H$1)&gt;0,1,"")</x:f>
        <x:v>1</x:v>
      </x:c>
      <x:c r="I8" s="34" t="str">
        <x:f>IF(COUNTIFS(Connections!$B:$B,$A8,Connections!$C:$C,I$1)&gt;0,1,"")</x:f>
      </x:c>
      <x:c r="J8" s="76" t="str">
        <x:f>IF(COUNTIFS(Connections!$B:$B,$A8,Connections!$C:$C,J$1)&gt;0,1,"")</x:f>
      </x:c>
      <x:c r="K8" s="34" t="n">
        <x:f>IF(COUNTIFS(Connections!$B:$B,$A8,Connections!$C:$C,K$1)&gt;0,1,"")</x:f>
        <x:v>1</x:v>
      </x:c>
      <x:c r="L8" s="76" t="str">
        <x:f>IF(COUNTIFS(Connections!$B:$B,$A8,Connections!$C:$C,L$1)&gt;0,1,"")</x:f>
      </x:c>
      <x:c r="M8" s="76" t="n">
        <x:f>IF(COUNTIFS(Connections!$B:$B,$A8,Connections!$C:$C,M$1)&gt;0,1,"")</x:f>
        <x:v>1</x:v>
      </x:c>
      <x:c r="N8" s="76" t="str">
        <x:f>IF(COUNTIFS(Connections!$B:$B,$A8,Connections!$C:$C,N$1)&gt;0,1,"")</x:f>
      </x:c>
      <x:c r="O8" s="34" t="str">
        <x:f>IF(COUNTIFS(Connections!$B:$B,$A8,Connections!$C:$C,O$1)&gt;0,1,"")</x:f>
      </x:c>
      <x:c r="P8" s="34" t="n">
        <x:f>IF(COUNTIFS(Connections!$B:$B,$A8,Connections!$C:$C,P$1)&gt;0,1,"")</x:f>
        <x:v>1</x:v>
      </x:c>
      <x:c r="Q8" s="76" t="str">
        <x:f>IF(COUNTIFS(Connections!$B:$B,$A8,Connections!$C:$C,Q$1)&gt;0,1,"")</x:f>
      </x:c>
      <x:c r="R8" s="34" t="str">
        <x:f>IF(COUNTIFS(Connections!$B:$B,$A8,Connections!$C:$C,R$1)&gt;0,1,"")</x:f>
      </x:c>
      <x:c r="S8" s="34" t="str">
        <x:f>IF(COUNTIFS(Connections!$B:$B,$A8,Connections!$C:$C,S$1)&gt;0,1,"")</x:f>
      </x:c>
      <x:c r="T8" s="34" t="n">
        <x:f>IF(COUNTIFS(Connections!$B:$B,$A8,Connections!$C:$C,T$1)&gt;0,1,"")</x:f>
        <x:v>1</x:v>
      </x:c>
      <x:c r="U8" s="76" t="str">
        <x:f>IF(COUNTIFS(Connections!$B:$B,$A8,Connections!$C:$C,U$1)&gt;0,1,"")</x:f>
      </x:c>
      <x:c r="V8" s="34" t="n">
        <x:f>IF(COUNTIFS(Connections!$B:$B,$A8,Connections!$C:$C,V$1)&gt;0,1,"")</x:f>
        <x:v>1</x:v>
      </x:c>
      <x:c r="W8" s="34" t="str">
        <x:f>IF(COUNTIFS(Connections!$B:$B,$A8,Connections!$C:$C,W$1)&gt;0,1,"")</x:f>
      </x:c>
      <x:c r="X8" s="34" t="n">
        <x:f>IF(COUNTIFS(Connections!$B:$B,$A8,Connections!$C:$C,X$1)&gt;0,1,"")</x:f>
        <x:v>1</x:v>
      </x:c>
      <x:c r="Y8" s="34" t="str">
        <x:f>IF(COUNTIFS(Connections!$B:$B,$A8,Connections!$C:$C,Y$1)&gt;0,1,"")</x:f>
      </x:c>
      <x:c r="Z8" s="34" t="str">
        <x:f>IF(COUNTIFS(Connections!$B:$B,$A8,Connections!$C:$C,Z$1)&gt;0,1,"")</x:f>
      </x:c>
      <x:c r="AA8" s="34" t="str">
        <x:f>IF(COUNTIFS(Connections!$B:$B,$A8,Connections!$C:$C,AA$1)&gt;0,1,"")</x:f>
      </x:c>
      <x:c r="AB8" s="34" t="str">
        <x:f>IF(COUNTIFS(Connections!$B:$B,$A8,Connections!$C:$C,AB$1)&gt;0,1,"")</x:f>
      </x:c>
      <x:c r="AC8" s="34" t="str">
        <x:f>IF(COUNTIFS(Connections!$B:$B,$A8,Connections!$C:$C,AC$1)&gt;0,1,"")</x:f>
      </x:c>
      <x:c r="AD8" s="34" t="str">
        <x:f>IF(COUNTIFS(Connections!$B:$B,$A8,Connections!$C:$C,AD$1)&gt;0,1,"")</x:f>
      </x:c>
      <x:c r="AE8" s="76" t="str">
        <x:f>IF(COUNTIFS(Connections!$B:$B,$A8,Connections!$C:$C,AE$1)&gt;0,1,"")</x:f>
      </x:c>
      <x:c r="AF8" s="34" t="str">
        <x:f>IF(COUNTIFS(Connections!$B:$B,$A8,Connections!$C:$C,AF$1)&gt;0,1,"")</x:f>
      </x:c>
      <x:c r="AG8" s="34" t="str">
        <x:f>IF(COUNTIFS(Connections!$B:$B,$A8,Connections!$C:$C,AG$1)&gt;0,1,"")</x:f>
      </x:c>
      <x:c r="AH8" s="34" t="str">
        <x:f>IF(COUNTIFS(Connections!$B:$B,$A8,Connections!$C:$C,AH$1)&gt;0,1,"")</x:f>
      </x:c>
      <x:c r="AI8" s="34" t="n">
        <x:f>IF(COUNTIFS(Connections!$B:$B,$A8,Connections!$C:$C,AI$1)&gt;0,1,"")</x:f>
        <x:v>1</x:v>
      </x:c>
      <x:c r="AJ8" s="34" t="str">
        <x:f>IF(COUNTIFS(Connections!$B:$B,$A8,Connections!$C:$C,AJ$1)&gt;0,1,"")</x:f>
      </x:c>
      <x:c r="AK8" s="34" t="str">
        <x:f>IF(COUNTIFS(Connections!$B:$B,$A8,Connections!$C:$C,AK$1)&gt;0,1,"")</x:f>
      </x:c>
      <x:c r="AL8" s="34" t="str">
        <x:f>IF(COUNTIFS(Connections!$B:$B,$A8,Connections!$C:$C,AL$1)&gt;0,1,"")</x:f>
      </x:c>
      <x:c r="AM8" s="34" t="str">
        <x:f>IF(COUNTIFS(Connections!$B:$B,$A8,Connections!$C:$C,AM$1)&gt;0,1,"")</x:f>
      </x:c>
      <x:c r="AN8" s="34" t="str">
        <x:f>IF(COUNTIFS(Connections!$B:$B,$A8,Connections!$C:$C,AN$1)&gt;0,1,"")</x:f>
      </x:c>
      <x:c r="AO8" s="34" t="str">
        <x:f>IF(COUNTIFS(Connections!$B:$B,$A8,Connections!$C:$C,AO$1)&gt;0,1,"")</x:f>
      </x:c>
      <x:c r="AP8" s="34" t="str">
        <x:f>IF(COUNTIFS(Connections!$B:$B,$A8,Connections!$C:$C,AP$1)&gt;0,1,"")</x:f>
      </x:c>
      <x:c r="AQ8" s="34" t="str">
        <x:f>IF(COUNTIFS(Connections!$B:$B,$A8,Connections!$C:$C,AQ$1)&gt;0,1,"")</x:f>
      </x:c>
      <x:c r="AR8" s="34" t="str">
        <x:f>IF(COUNTIFS(Connections!$B:$B,$A8,Connections!$C:$C,AR$1)&gt;0,1,"")</x:f>
      </x:c>
      <x:c r="AS8" s="34" t="str">
        <x:f>IF(COUNTIFS(Connections!$B:$B,$A8,Connections!$C:$C,AS$1)&gt;0,1,"")</x:f>
      </x:c>
      <x:c r="AT8" s="34" t="str">
        <x:f>IF(COUNTIFS(Connections!$B:$B,$A8,Connections!$C:$C,AT$1)&gt;0,1,"")</x:f>
      </x:c>
      <x:c r="AU8" s="34" t="str">
        <x:f>IF(COUNTIFS(Connections!$B:$B,$A8,Connections!$C:$C,AU$1)&gt;0,1,"")</x:f>
      </x:c>
      <x:c r="AV8" s="34" t="str">
        <x:f>IF(COUNTIFS(Connections!$B:$B,$A8,Connections!$C:$C,AV$1)&gt;0,1,"")</x:f>
      </x:c>
    </x:row>
    <x:row r="9">
      <x:c r="A9" s="95" t="str">
        <x:v>You Are Here</x:v>
      </x:c>
      <x:c r="B9" s="95" t="str">
        <x:v>Foundation</x:v>
      </x:c>
      <x:c r="C9" s="34" t="str">
        <x:f>IF(COUNTIFS(Connections!$B:$B,$A9,Connections!$C:$C,C$1)&gt;0,1,"")</x:f>
      </x:c>
      <x:c r="D9" s="34" t="str">
        <x:f>IF(COUNTIFS(Connections!$B:$B,$A9,Connections!$C:$C,D$1)&gt;0,1,"")</x:f>
      </x:c>
      <x:c r="E9" s="76" t="n">
        <x:f>IF(COUNTIFS(Connections!$B:$B,$A9,Connections!$C:$C,E$1)&gt;0,1,"")</x:f>
        <x:v>1</x:v>
      </x:c>
      <x:c r="F9" s="76" t="n">
        <x:f>IF(COUNTIFS(Connections!$B:$B,$A9,Connections!$C:$C,F$1)&gt;0,1,"")</x:f>
        <x:v>1</x:v>
      </x:c>
      <x:c r="G9" s="76" t="n">
        <x:f>IF(COUNTIFS(Connections!$B:$B,$A9,Connections!$C:$C,G$1)&gt;0,1,"")</x:f>
        <x:v>1</x:v>
      </x:c>
      <x:c r="H9" s="34" t="str">
        <x:f>IF(COUNTIFS(Connections!$B:$B,$A9,Connections!$C:$C,H$1)&gt;0,1,"")</x:f>
      </x:c>
      <x:c r="I9" s="34" t="str">
        <x:f>IF(COUNTIFS(Connections!$B:$B,$A9,Connections!$C:$C,I$1)&gt;0,1,"")</x:f>
      </x:c>
      <x:c r="J9" s="34" t="n">
        <x:f>IF(COUNTIFS(Connections!$B:$B,$A9,Connections!$C:$C,J$1)&gt;0,1,"")</x:f>
        <x:v>1</x:v>
      </x:c>
      <x:c r="K9" s="76" t="str">
        <x:f>IF(COUNTIFS(Connections!$B:$B,$A9,Connections!$C:$C,K$1)&gt;0,1,"")</x:f>
      </x:c>
      <x:c r="L9" s="34" t="n">
        <x:f>IF(COUNTIFS(Connections!$B:$B,$A9,Connections!$C:$C,L$1)&gt;0,1,"")</x:f>
        <x:v>1</x:v>
      </x:c>
      <x:c r="M9" s="34" t="str">
        <x:f>IF(COUNTIFS(Connections!$B:$B,$A9,Connections!$C:$C,M$1)&gt;0,1,"")</x:f>
      </x:c>
      <x:c r="N9" s="34" t="str">
        <x:f>IF(COUNTIFS(Connections!$B:$B,$A9,Connections!$C:$C,N$1)&gt;0,1,"")</x:f>
      </x:c>
      <x:c r="O9" s="34" t="n">
        <x:f>IF(COUNTIFS(Connections!$B:$B,$A9,Connections!$C:$C,O$1)&gt;0,1,"")</x:f>
        <x:v>1</x:v>
      </x:c>
      <x:c r="P9" s="76" t="str">
        <x:f>IF(COUNTIFS(Connections!$B:$B,$A9,Connections!$C:$C,P$1)&gt;0,1,"")</x:f>
      </x:c>
      <x:c r="Q9" s="34" t="str">
        <x:f>IF(COUNTIFS(Connections!$B:$B,$A9,Connections!$C:$C,Q$1)&gt;0,1,"")</x:f>
      </x:c>
      <x:c r="R9" s="76" t="str">
        <x:f>IF(COUNTIFS(Connections!$B:$B,$A9,Connections!$C:$C,R$1)&gt;0,1,"")</x:f>
      </x:c>
      <x:c r="S9" s="34" t="str">
        <x:f>IF(COUNTIFS(Connections!$B:$B,$A9,Connections!$C:$C,S$1)&gt;0,1,"")</x:f>
      </x:c>
      <x:c r="T9" s="34" t="str">
        <x:f>IF(COUNTIFS(Connections!$B:$B,$A9,Connections!$C:$C,T$1)&gt;0,1,"")</x:f>
      </x:c>
      <x:c r="U9" s="34" t="str">
        <x:f>IF(COUNTIFS(Connections!$B:$B,$A9,Connections!$C:$C,U$1)&gt;0,1,"")</x:f>
      </x:c>
      <x:c r="V9" s="34" t="str">
        <x:f>IF(COUNTIFS(Connections!$B:$B,$A9,Connections!$C:$C,V$1)&gt;0,1,"")</x:f>
      </x:c>
      <x:c r="W9" s="34" t="str">
        <x:f>IF(COUNTIFS(Connections!$B:$B,$A9,Connections!$C:$C,W$1)&gt;0,1,"")</x:f>
      </x:c>
      <x:c r="X9" s="34" t="str">
        <x:f>IF(COUNTIFS(Connections!$B:$B,$A9,Connections!$C:$C,X$1)&gt;0,1,"")</x:f>
      </x:c>
      <x:c r="Y9" s="34" t="str">
        <x:f>IF(COUNTIFS(Connections!$B:$B,$A9,Connections!$C:$C,Y$1)&gt;0,1,"")</x:f>
      </x:c>
      <x:c r="Z9" s="34" t="str">
        <x:f>IF(COUNTIFS(Connections!$B:$B,$A9,Connections!$C:$C,Z$1)&gt;0,1,"")</x:f>
      </x:c>
      <x:c r="AA9" s="34" t="str">
        <x:f>IF(COUNTIFS(Connections!$B:$B,$A9,Connections!$C:$C,AA$1)&gt;0,1,"")</x:f>
      </x:c>
      <x:c r="AB9" s="34" t="str">
        <x:f>IF(COUNTIFS(Connections!$B:$B,$A9,Connections!$C:$C,AB$1)&gt;0,1,"")</x:f>
      </x:c>
      <x:c r="AC9" s="34" t="str">
        <x:f>IF(COUNTIFS(Connections!$B:$B,$A9,Connections!$C:$C,AC$1)&gt;0,1,"")</x:f>
      </x:c>
      <x:c r="AD9" s="34" t="str">
        <x:f>IF(COUNTIFS(Connections!$B:$B,$A9,Connections!$C:$C,AD$1)&gt;0,1,"")</x:f>
      </x:c>
      <x:c r="AE9" s="34" t="str">
        <x:f>IF(COUNTIFS(Connections!$B:$B,$A9,Connections!$C:$C,AE$1)&gt;0,1,"")</x:f>
      </x:c>
      <x:c r="AF9" s="34" t="str">
        <x:f>IF(COUNTIFS(Connections!$B:$B,$A9,Connections!$C:$C,AF$1)&gt;0,1,"")</x:f>
      </x:c>
      <x:c r="AG9" s="34" t="str">
        <x:f>IF(COUNTIFS(Connections!$B:$B,$A9,Connections!$C:$C,AG$1)&gt;0,1,"")</x:f>
      </x:c>
      <x:c r="AH9" s="34" t="str">
        <x:f>IF(COUNTIFS(Connections!$B:$B,$A9,Connections!$C:$C,AH$1)&gt;0,1,"")</x:f>
      </x:c>
      <x:c r="AI9" s="34" t="str">
        <x:f>IF(COUNTIFS(Connections!$B:$B,$A9,Connections!$C:$C,AI$1)&gt;0,1,"")</x:f>
      </x:c>
      <x:c r="AJ9" s="34" t="str">
        <x:f>IF(COUNTIFS(Connections!$B:$B,$A9,Connections!$C:$C,AJ$1)&gt;0,1,"")</x:f>
      </x:c>
      <x:c r="AK9" s="34" t="str">
        <x:f>IF(COUNTIFS(Connections!$B:$B,$A9,Connections!$C:$C,AK$1)&gt;0,1,"")</x:f>
      </x:c>
      <x:c r="AL9" s="34" t="str">
        <x:f>IF(COUNTIFS(Connections!$B:$B,$A9,Connections!$C:$C,AL$1)&gt;0,1,"")</x:f>
      </x:c>
      <x:c r="AM9" s="34" t="str">
        <x:f>IF(COUNTIFS(Connections!$B:$B,$A9,Connections!$C:$C,AM$1)&gt;0,1,"")</x:f>
      </x:c>
      <x:c r="AN9" s="34" t="str">
        <x:f>IF(COUNTIFS(Connections!$B:$B,$A9,Connections!$C:$C,AN$1)&gt;0,1,"")</x:f>
      </x:c>
      <x:c r="AO9" s="34" t="str">
        <x:f>IF(COUNTIFS(Connections!$B:$B,$A9,Connections!$C:$C,AO$1)&gt;0,1,"")</x:f>
      </x:c>
      <x:c r="AP9" s="34" t="str">
        <x:f>IF(COUNTIFS(Connections!$B:$B,$A9,Connections!$C:$C,AP$1)&gt;0,1,"")</x:f>
      </x:c>
      <x:c r="AQ9" s="34" t="str">
        <x:f>IF(COUNTIFS(Connections!$B:$B,$A9,Connections!$C:$C,AQ$1)&gt;0,1,"")</x:f>
      </x:c>
      <x:c r="AR9" s="34" t="str">
        <x:f>IF(COUNTIFS(Connections!$B:$B,$A9,Connections!$C:$C,AR$1)&gt;0,1,"")</x:f>
      </x:c>
      <x:c r="AS9" s="34" t="str">
        <x:f>IF(COUNTIFS(Connections!$B:$B,$A9,Connections!$C:$C,AS$1)&gt;0,1,"")</x:f>
      </x:c>
      <x:c r="AT9" s="34" t="str">
        <x:f>IF(COUNTIFS(Connections!$B:$B,$A9,Connections!$C:$C,AT$1)&gt;0,1,"")</x:f>
      </x:c>
      <x:c r="AU9" s="34" t="str">
        <x:f>IF(COUNTIFS(Connections!$B:$B,$A9,Connections!$C:$C,AU$1)&gt;0,1,"")</x:f>
      </x:c>
      <x:c r="AV9" s="34" t="str">
        <x:f>IF(COUNTIFS(Connections!$B:$B,$A9,Connections!$C:$C,AV$1)&gt;0,1,"")</x:f>
      </x:c>
    </x:row>
    <x:row r="10">
      <x:c r="A10" s="96" t="str">
        <x:v>Relevance</x:v>
      </x:c>
      <x:c r="B10" s="96" t="str">
        <x:v>Construction</x:v>
      </x:c>
      <x:c r="C10" s="78" t="n">
        <x:f>IF(COUNTIFS(Connections!$B:$B,$A10,Connections!$C:$C,C$1)&gt;0,1,"")</x:f>
        <x:v>1</x:v>
      </x:c>
      <x:c r="D10" s="78" t="n">
        <x:f>IF(COUNTIFS(Connections!$B:$B,$A10,Connections!$C:$C,D$1)&gt;0,1,"")</x:f>
        <x:v>1</x:v>
      </x:c>
      <x:c r="E10" s="34" t="str">
        <x:f>IF(COUNTIFS(Connections!$B:$B,$A10,Connections!$C:$C,E$1)&gt;0,1,"")</x:f>
      </x:c>
      <x:c r="F10" s="78" t="str">
        <x:f>IF(COUNTIFS(Connections!$B:$B,$A10,Connections!$C:$C,F$1)&gt;0,1,"")</x:f>
      </x:c>
      <x:c r="G10" s="34" t="n">
        <x:f>IF(COUNTIFS(Connections!$B:$B,$A10,Connections!$C:$C,G$1)&gt;0,1,"")</x:f>
        <x:v>1</x:v>
      </x:c>
      <x:c r="H10" s="34" t="str">
        <x:f>IF(COUNTIFS(Connections!$B:$B,$A10,Connections!$C:$C,H$1)&gt;0,1,"")</x:f>
      </x:c>
      <x:c r="I10" s="34" t="str">
        <x:f>IF(COUNTIFS(Connections!$B:$B,$A10,Connections!$C:$C,I$1)&gt;0,1,"")</x:f>
      </x:c>
      <x:c r="J10" s="34" t="str">
        <x:f>IF(COUNTIFS(Connections!$B:$B,$A10,Connections!$C:$C,J$1)&gt;0,1,"")</x:f>
      </x:c>
      <x:c r="K10" s="34" t="str">
        <x:f>IF(COUNTIFS(Connections!$B:$B,$A10,Connections!$C:$C,K$1)&gt;0,1,"")</x:f>
      </x:c>
      <x:c r="L10" s="34" t="str">
        <x:f>IF(COUNTIFS(Connections!$B:$B,$A10,Connections!$C:$C,L$1)&gt;0,1,"")</x:f>
      </x:c>
      <x:c r="M10" s="78" t="str">
        <x:f>IF(COUNTIFS(Connections!$B:$B,$A10,Connections!$C:$C,M$1)&gt;0,1,"")</x:f>
      </x:c>
      <x:c r="N10" s="34" t="str">
        <x:f>IF(COUNTIFS(Connections!$B:$B,$A10,Connections!$C:$C,N$1)&gt;0,1,"")</x:f>
      </x:c>
      <x:c r="O10" s="34" t="str">
        <x:f>IF(COUNTIFS(Connections!$B:$B,$A10,Connections!$C:$C,O$1)&gt;0,1,"")</x:f>
      </x:c>
      <x:c r="P10" s="34" t="n">
        <x:f>IF(COUNTIFS(Connections!$B:$B,$A10,Connections!$C:$C,P$1)&gt;0,1,"")</x:f>
        <x:v>1</x:v>
      </x:c>
      <x:c r="Q10" s="34" t="str">
        <x:f>IF(COUNTIFS(Connections!$B:$B,$A10,Connections!$C:$C,Q$1)&gt;0,1,"")</x:f>
      </x:c>
      <x:c r="R10" s="34" t="str">
        <x:f>IF(COUNTIFS(Connections!$B:$B,$A10,Connections!$C:$C,R$1)&gt;0,1,"")</x:f>
      </x:c>
      <x:c r="S10" s="34" t="str">
        <x:f>IF(COUNTIFS(Connections!$B:$B,$A10,Connections!$C:$C,S$1)&gt;0,1,"")</x:f>
      </x:c>
      <x:c r="T10" s="34" t="str">
        <x:f>IF(COUNTIFS(Connections!$B:$B,$A10,Connections!$C:$C,T$1)&gt;0,1,"")</x:f>
      </x:c>
      <x:c r="U10" s="34" t="str">
        <x:f>IF(COUNTIFS(Connections!$B:$B,$A10,Connections!$C:$C,U$1)&gt;0,1,"")</x:f>
      </x:c>
      <x:c r="V10" s="34" t="str">
        <x:f>IF(COUNTIFS(Connections!$B:$B,$A10,Connections!$C:$C,V$1)&gt;0,1,"")</x:f>
      </x:c>
      <x:c r="W10" s="34" t="str">
        <x:f>IF(COUNTIFS(Connections!$B:$B,$A10,Connections!$C:$C,W$1)&gt;0,1,"")</x:f>
      </x:c>
      <x:c r="X10" s="78" t="str">
        <x:f>IF(COUNTIFS(Connections!$B:$B,$A10,Connections!$C:$C,X$1)&gt;0,1,"")</x:f>
      </x:c>
      <x:c r="Y10" s="34" t="str">
        <x:f>IF(COUNTIFS(Connections!$B:$B,$A10,Connections!$C:$C,Y$1)&gt;0,1,"")</x:f>
      </x:c>
      <x:c r="Z10" s="34" t="str">
        <x:f>IF(COUNTIFS(Connections!$B:$B,$A10,Connections!$C:$C,Z$1)&gt;0,1,"")</x:f>
      </x:c>
      <x:c r="AA10" s="34" t="str">
        <x:f>IF(COUNTIFS(Connections!$B:$B,$A10,Connections!$C:$C,AA$1)&gt;0,1,"")</x:f>
      </x:c>
      <x:c r="AB10" s="34" t="n">
        <x:f>IF(COUNTIFS(Connections!$B:$B,$A10,Connections!$C:$C,AB$1)&gt;0,1,"")</x:f>
        <x:v>1</x:v>
      </x:c>
      <x:c r="AC10" s="34" t="str">
        <x:f>IF(COUNTIFS(Connections!$B:$B,$A10,Connections!$C:$C,AC$1)&gt;0,1,"")</x:f>
      </x:c>
      <x:c r="AD10" s="34" t="str">
        <x:f>IF(COUNTIFS(Connections!$B:$B,$A10,Connections!$C:$C,AD$1)&gt;0,1,"")</x:f>
      </x:c>
      <x:c r="AE10" s="34" t="str">
        <x:f>IF(COUNTIFS(Connections!$B:$B,$A10,Connections!$C:$C,AE$1)&gt;0,1,"")</x:f>
      </x:c>
      <x:c r="AF10" s="34" t="str">
        <x:f>IF(COUNTIFS(Connections!$B:$B,$A10,Connections!$C:$C,AF$1)&gt;0,1,"")</x:f>
      </x:c>
      <x:c r="AG10" s="34" t="str">
        <x:f>IF(COUNTIFS(Connections!$B:$B,$A10,Connections!$C:$C,AG$1)&gt;0,1,"")</x:f>
      </x:c>
      <x:c r="AH10" s="34" t="str">
        <x:f>IF(COUNTIFS(Connections!$B:$B,$A10,Connections!$C:$C,AH$1)&gt;0,1,"")</x:f>
      </x:c>
      <x:c r="AI10" s="34" t="str">
        <x:f>IF(COUNTIFS(Connections!$B:$B,$A10,Connections!$C:$C,AI$1)&gt;0,1,"")</x:f>
      </x:c>
      <x:c r="AJ10" s="34" t="str">
        <x:f>IF(COUNTIFS(Connections!$B:$B,$A10,Connections!$C:$C,AJ$1)&gt;0,1,"")</x:f>
      </x:c>
      <x:c r="AK10" s="34" t="str">
        <x:f>IF(COUNTIFS(Connections!$B:$B,$A10,Connections!$C:$C,AK$1)&gt;0,1,"")</x:f>
      </x:c>
      <x:c r="AL10" s="34" t="str">
        <x:f>IF(COUNTIFS(Connections!$B:$B,$A10,Connections!$C:$C,AL$1)&gt;0,1,"")</x:f>
      </x:c>
      <x:c r="AM10" s="34" t="str">
        <x:f>IF(COUNTIFS(Connections!$B:$B,$A10,Connections!$C:$C,AM$1)&gt;0,1,"")</x:f>
      </x:c>
      <x:c r="AN10" s="34" t="str">
        <x:f>IF(COUNTIFS(Connections!$B:$B,$A10,Connections!$C:$C,AN$1)&gt;0,1,"")</x:f>
      </x:c>
      <x:c r="AO10" s="34" t="str">
        <x:f>IF(COUNTIFS(Connections!$B:$B,$A10,Connections!$C:$C,AO$1)&gt;0,1,"")</x:f>
      </x:c>
      <x:c r="AP10" s="34" t="str">
        <x:f>IF(COUNTIFS(Connections!$B:$B,$A10,Connections!$C:$C,AP$1)&gt;0,1,"")</x:f>
      </x:c>
      <x:c r="AQ10" s="34" t="str">
        <x:f>IF(COUNTIFS(Connections!$B:$B,$A10,Connections!$C:$C,AQ$1)&gt;0,1,"")</x:f>
      </x:c>
      <x:c r="AR10" s="34" t="str">
        <x:f>IF(COUNTIFS(Connections!$B:$B,$A10,Connections!$C:$C,AR$1)&gt;0,1,"")</x:f>
      </x:c>
      <x:c r="AS10" s="34" t="str">
        <x:f>IF(COUNTIFS(Connections!$B:$B,$A10,Connections!$C:$C,AS$1)&gt;0,1,"")</x:f>
      </x:c>
      <x:c r="AT10" s="34" t="str">
        <x:f>IF(COUNTIFS(Connections!$B:$B,$A10,Connections!$C:$C,AT$1)&gt;0,1,"")</x:f>
      </x:c>
      <x:c r="AU10" s="34" t="str">
        <x:f>IF(COUNTIFS(Connections!$B:$B,$A10,Connections!$C:$C,AU$1)&gt;0,1,"")</x:f>
      </x:c>
      <x:c r="AV10" s="34" t="str">
        <x:f>IF(COUNTIFS(Connections!$B:$B,$A10,Connections!$C:$C,AV$1)&gt;0,1,"")</x:f>
      </x:c>
    </x:row>
    <x:row r="11">
      <x:c r="A11" s="96" t="str">
        <x:v>Push</x:v>
      </x:c>
      <x:c r="B11" s="96" t="str">
        <x:v>Construction</x:v>
      </x:c>
      <x:c r="C11" s="34" t="str">
        <x:f>IF(COUNTIFS(Connections!$B:$B,$A11,Connections!$C:$C,C$1)&gt;0,1,"")</x:f>
      </x:c>
      <x:c r="D11" s="34" t="str">
        <x:f>IF(COUNTIFS(Connections!$B:$B,$A11,Connections!$C:$C,D$1)&gt;0,1,"")</x:f>
      </x:c>
      <x:c r="E11" s="78" t="n">
        <x:f>IF(COUNTIFS(Connections!$B:$B,$A11,Connections!$C:$C,E$1)&gt;0,1,"")</x:f>
        <x:v>1</x:v>
      </x:c>
      <x:c r="F11" s="78" t="n">
        <x:f>IF(COUNTIFS(Connections!$B:$B,$A11,Connections!$C:$C,F$1)&gt;0,1,"")</x:f>
        <x:v>1</x:v>
      </x:c>
      <x:c r="G11" s="78" t="n">
        <x:f>IF(COUNTIFS(Connections!$B:$B,$A11,Connections!$C:$C,G$1)&gt;0,1,"")</x:f>
        <x:v>1</x:v>
      </x:c>
      <x:c r="H11" s="34" t="str">
        <x:f>IF(COUNTIFS(Connections!$B:$B,$A11,Connections!$C:$C,H$1)&gt;0,1,"")</x:f>
      </x:c>
      <x:c r="I11" s="34" t="str">
        <x:f>IF(COUNTIFS(Connections!$B:$B,$A11,Connections!$C:$C,I$1)&gt;0,1,"")</x:f>
      </x:c>
      <x:c r="J11" s="34" t="n">
        <x:f>IF(COUNTIFS(Connections!$B:$B,$A11,Connections!$C:$C,J$1)&gt;0,1,"")</x:f>
        <x:v>1</x:v>
      </x:c>
      <x:c r="K11" s="78" t="str">
        <x:f>IF(COUNTIFS(Connections!$B:$B,$A11,Connections!$C:$C,K$1)&gt;0,1,"")</x:f>
      </x:c>
      <x:c r="L11" s="34" t="n">
        <x:f>IF(COUNTIFS(Connections!$B:$B,$A11,Connections!$C:$C,L$1)&gt;0,1,"")</x:f>
        <x:v>1</x:v>
      </x:c>
      <x:c r="M11" s="34" t="str">
        <x:f>IF(COUNTIFS(Connections!$B:$B,$A11,Connections!$C:$C,M$1)&gt;0,1,"")</x:f>
      </x:c>
      <x:c r="N11" s="34" t="str">
        <x:f>IF(COUNTIFS(Connections!$B:$B,$A11,Connections!$C:$C,N$1)&gt;0,1,"")</x:f>
      </x:c>
      <x:c r="O11" s="34" t="str">
        <x:f>IF(COUNTIFS(Connections!$B:$B,$A11,Connections!$C:$C,O$1)&gt;0,1,"")</x:f>
      </x:c>
      <x:c r="P11" s="34" t="str">
        <x:f>IF(COUNTIFS(Connections!$B:$B,$A11,Connections!$C:$C,P$1)&gt;0,1,"")</x:f>
      </x:c>
      <x:c r="Q11" s="34" t="str">
        <x:f>IF(COUNTIFS(Connections!$B:$B,$A11,Connections!$C:$C,Q$1)&gt;0,1,"")</x:f>
      </x:c>
      <x:c r="R11" s="78" t="str">
        <x:f>IF(COUNTIFS(Connections!$B:$B,$A11,Connections!$C:$C,R$1)&gt;0,1,"")</x:f>
      </x:c>
      <x:c r="S11" s="34" t="str">
        <x:f>IF(COUNTIFS(Connections!$B:$B,$A11,Connections!$C:$C,S$1)&gt;0,1,"")</x:f>
      </x:c>
      <x:c r="T11" s="34" t="str">
        <x:f>IF(COUNTIFS(Connections!$B:$B,$A11,Connections!$C:$C,T$1)&gt;0,1,"")</x:f>
      </x:c>
      <x:c r="U11" s="34" t="str">
        <x:f>IF(COUNTIFS(Connections!$B:$B,$A11,Connections!$C:$C,U$1)&gt;0,1,"")</x:f>
      </x:c>
      <x:c r="V11" s="34" t="str">
        <x:f>IF(COUNTIFS(Connections!$B:$B,$A11,Connections!$C:$C,V$1)&gt;0,1,"")</x:f>
      </x:c>
      <x:c r="W11" s="34" t="str">
        <x:f>IF(COUNTIFS(Connections!$B:$B,$A11,Connections!$C:$C,W$1)&gt;0,1,"")</x:f>
      </x:c>
      <x:c r="X11" s="34" t="str">
        <x:f>IF(COUNTIFS(Connections!$B:$B,$A11,Connections!$C:$C,X$1)&gt;0,1,"")</x:f>
      </x:c>
      <x:c r="Y11" s="34" t="str">
        <x:f>IF(COUNTIFS(Connections!$B:$B,$A11,Connections!$C:$C,Y$1)&gt;0,1,"")</x:f>
      </x:c>
      <x:c r="Z11" s="34" t="str">
        <x:f>IF(COUNTIFS(Connections!$B:$B,$A11,Connections!$C:$C,Z$1)&gt;0,1,"")</x:f>
      </x:c>
      <x:c r="AA11" s="34" t="str">
        <x:f>IF(COUNTIFS(Connections!$B:$B,$A11,Connections!$C:$C,AA$1)&gt;0,1,"")</x:f>
      </x:c>
      <x:c r="AB11" s="34" t="str">
        <x:f>IF(COUNTIFS(Connections!$B:$B,$A11,Connections!$C:$C,AB$1)&gt;0,1,"")</x:f>
      </x:c>
      <x:c r="AC11" s="34" t="str">
        <x:f>IF(COUNTIFS(Connections!$B:$B,$A11,Connections!$C:$C,AC$1)&gt;0,1,"")</x:f>
      </x:c>
      <x:c r="AD11" s="34" t="str">
        <x:f>IF(COUNTIFS(Connections!$B:$B,$A11,Connections!$C:$C,AD$1)&gt;0,1,"")</x:f>
      </x:c>
      <x:c r="AE11" s="34" t="str">
        <x:f>IF(COUNTIFS(Connections!$B:$B,$A11,Connections!$C:$C,AE$1)&gt;0,1,"")</x:f>
      </x:c>
      <x:c r="AF11" s="34" t="str">
        <x:f>IF(COUNTIFS(Connections!$B:$B,$A11,Connections!$C:$C,AF$1)&gt;0,1,"")</x:f>
      </x:c>
      <x:c r="AG11" s="34" t="str">
        <x:f>IF(COUNTIFS(Connections!$B:$B,$A11,Connections!$C:$C,AG$1)&gt;0,1,"")</x:f>
      </x:c>
      <x:c r="AH11" s="34" t="str">
        <x:f>IF(COUNTIFS(Connections!$B:$B,$A11,Connections!$C:$C,AH$1)&gt;0,1,"")</x:f>
      </x:c>
      <x:c r="AI11" s="78" t="str">
        <x:f>IF(COUNTIFS(Connections!$B:$B,$A11,Connections!$C:$C,AI$1)&gt;0,1,"")</x:f>
      </x:c>
      <x:c r="AJ11" s="34" t="str">
        <x:f>IF(COUNTIFS(Connections!$B:$B,$A11,Connections!$C:$C,AJ$1)&gt;0,1,"")</x:f>
      </x:c>
      <x:c r="AK11" s="34" t="n">
        <x:f>IF(COUNTIFS(Connections!$B:$B,$A11,Connections!$C:$C,AK$1)&gt;0,1,"")</x:f>
        <x:v>1</x:v>
      </x:c>
      <x:c r="AL11" s="34" t="str">
        <x:f>IF(COUNTIFS(Connections!$B:$B,$A11,Connections!$C:$C,AL$1)&gt;0,1,"")</x:f>
      </x:c>
      <x:c r="AM11" s="34" t="str">
        <x:f>IF(COUNTIFS(Connections!$B:$B,$A11,Connections!$C:$C,AM$1)&gt;0,1,"")</x:f>
      </x:c>
      <x:c r="AN11" s="34" t="str">
        <x:f>IF(COUNTIFS(Connections!$B:$B,$A11,Connections!$C:$C,AN$1)&gt;0,1,"")</x:f>
      </x:c>
      <x:c r="AO11" s="34" t="str">
        <x:f>IF(COUNTIFS(Connections!$B:$B,$A11,Connections!$C:$C,AO$1)&gt;0,1,"")</x:f>
      </x:c>
      <x:c r="AP11" s="34" t="str">
        <x:f>IF(COUNTIFS(Connections!$B:$B,$A11,Connections!$C:$C,AP$1)&gt;0,1,"")</x:f>
      </x:c>
      <x:c r="AQ11" s="34" t="str">
        <x:f>IF(COUNTIFS(Connections!$B:$B,$A11,Connections!$C:$C,AQ$1)&gt;0,1,"")</x:f>
      </x:c>
      <x:c r="AR11" s="34" t="str">
        <x:f>IF(COUNTIFS(Connections!$B:$B,$A11,Connections!$C:$C,AR$1)&gt;0,1,"")</x:f>
      </x:c>
      <x:c r="AS11" s="34" t="str">
        <x:f>IF(COUNTIFS(Connections!$B:$B,$A11,Connections!$C:$C,AS$1)&gt;0,1,"")</x:f>
      </x:c>
      <x:c r="AT11" s="34" t="str">
        <x:f>IF(COUNTIFS(Connections!$B:$B,$A11,Connections!$C:$C,AT$1)&gt;0,1,"")</x:f>
      </x:c>
      <x:c r="AU11" s="34" t="str">
        <x:f>IF(COUNTIFS(Connections!$B:$B,$A11,Connections!$C:$C,AU$1)&gt;0,1,"")</x:f>
      </x:c>
      <x:c r="AV11" s="34" t="str">
        <x:f>IF(COUNTIFS(Connections!$B:$B,$A11,Connections!$C:$C,AV$1)&gt;0,1,"")</x:f>
      </x:c>
    </x:row>
    <x:row r="12">
      <x:c r="A12" s="96" t="str">
        <x:v>Pull</x:v>
      </x:c>
      <x:c r="B12" s="96" t="str">
        <x:v>Construction</x:v>
      </x:c>
      <x:c r="C12" s="34" t="str">
        <x:f>IF(COUNTIFS(Connections!$B:$B,$A12,Connections!$C:$C,C$1)&gt;0,1,"")</x:f>
      </x:c>
      <x:c r="D12" s="78" t="n">
        <x:f>IF(COUNTIFS(Connections!$B:$B,$A12,Connections!$C:$C,D$1)&gt;0,1,"")</x:f>
        <x:v>1</x:v>
      </x:c>
      <x:c r="E12" s="34" t="str">
        <x:f>IF(COUNTIFS(Connections!$B:$B,$A12,Connections!$C:$C,E$1)&gt;0,1,"")</x:f>
      </x:c>
      <x:c r="F12" s="78" t="str">
        <x:f>IF(COUNTIFS(Connections!$B:$B,$A12,Connections!$C:$C,F$1)&gt;0,1,"")</x:f>
      </x:c>
      <x:c r="G12" s="34" t="n">
        <x:f>IF(COUNTIFS(Connections!$B:$B,$A12,Connections!$C:$C,G$1)&gt;0,1,"")</x:f>
        <x:v>1</x:v>
      </x:c>
      <x:c r="H12" s="34" t="str">
        <x:f>IF(COUNTIFS(Connections!$B:$B,$A12,Connections!$C:$C,H$1)&gt;0,1,"")</x:f>
      </x:c>
      <x:c r="I12" s="78" t="n">
        <x:f>IF(COUNTIFS(Connections!$B:$B,$A12,Connections!$C:$C,I$1)&gt;0,1,"")</x:f>
        <x:v>1</x:v>
      </x:c>
      <x:c r="J12" s="34" t="str">
        <x:f>IF(COUNTIFS(Connections!$B:$B,$A12,Connections!$C:$C,J$1)&gt;0,1,"")</x:f>
      </x:c>
      <x:c r="K12" s="34" t="str">
        <x:f>IF(COUNTIFS(Connections!$B:$B,$A12,Connections!$C:$C,K$1)&gt;0,1,"")</x:f>
      </x:c>
      <x:c r="L12" s="34" t="str">
        <x:f>IF(COUNTIFS(Connections!$B:$B,$A12,Connections!$C:$C,L$1)&gt;0,1,"")</x:f>
      </x:c>
      <x:c r="M12" s="34" t="str">
        <x:f>IF(COUNTIFS(Connections!$B:$B,$A12,Connections!$C:$C,M$1)&gt;0,1,"")</x:f>
      </x:c>
      <x:c r="N12" s="34" t="n">
        <x:f>IF(COUNTIFS(Connections!$B:$B,$A12,Connections!$C:$C,N$1)&gt;0,1,"")</x:f>
        <x:v>1</x:v>
      </x:c>
      <x:c r="O12" s="78" t="str">
        <x:f>IF(COUNTIFS(Connections!$B:$B,$A12,Connections!$C:$C,O$1)&gt;0,1,"")</x:f>
      </x:c>
      <x:c r="P12" s="34" t="str">
        <x:f>IF(COUNTIFS(Connections!$B:$B,$A12,Connections!$C:$C,P$1)&gt;0,1,"")</x:f>
      </x:c>
      <x:c r="Q12" s="34" t="str">
        <x:f>IF(COUNTIFS(Connections!$B:$B,$A12,Connections!$C:$C,Q$1)&gt;0,1,"")</x:f>
      </x:c>
      <x:c r="R12" s="34" t="str">
        <x:f>IF(COUNTIFS(Connections!$B:$B,$A12,Connections!$C:$C,R$1)&gt;0,1,"")</x:f>
      </x:c>
      <x:c r="S12" s="34" t="str">
        <x:f>IF(COUNTIFS(Connections!$B:$B,$A12,Connections!$C:$C,S$1)&gt;0,1,"")</x:f>
      </x:c>
      <x:c r="T12" s="34" t="str">
        <x:f>IF(COUNTIFS(Connections!$B:$B,$A12,Connections!$C:$C,T$1)&gt;0,1,"")</x:f>
      </x:c>
      <x:c r="U12" s="34" t="n">
        <x:f>IF(COUNTIFS(Connections!$B:$B,$A12,Connections!$C:$C,U$1)&gt;0,1,"")</x:f>
        <x:v>1</x:v>
      </x:c>
      <x:c r="V12" s="78" t="str">
        <x:f>IF(COUNTIFS(Connections!$B:$B,$A12,Connections!$C:$C,V$1)&gt;0,1,"")</x:f>
      </x:c>
      <x:c r="W12" s="34" t="str">
        <x:f>IF(COUNTIFS(Connections!$B:$B,$A12,Connections!$C:$C,W$1)&gt;0,1,"")</x:f>
      </x:c>
      <x:c r="X12" s="34" t="str">
        <x:f>IF(COUNTIFS(Connections!$B:$B,$A12,Connections!$C:$C,X$1)&gt;0,1,"")</x:f>
      </x:c>
      <x:c r="Y12" s="34" t="str">
        <x:f>IF(COUNTIFS(Connections!$B:$B,$A12,Connections!$C:$C,Y$1)&gt;0,1,"")</x:f>
      </x:c>
      <x:c r="Z12" s="34" t="str">
        <x:f>IF(COUNTIFS(Connections!$B:$B,$A12,Connections!$C:$C,Z$1)&gt;0,1,"")</x:f>
      </x:c>
      <x:c r="AA12" s="78" t="str">
        <x:f>IF(COUNTIFS(Connections!$B:$B,$A12,Connections!$C:$C,AA$1)&gt;0,1,"")</x:f>
      </x:c>
      <x:c r="AB12" s="34" t="str">
        <x:f>IF(COUNTIFS(Connections!$B:$B,$A12,Connections!$C:$C,AB$1)&gt;0,1,"")</x:f>
      </x:c>
      <x:c r="AC12" s="34" t="str">
        <x:f>IF(COUNTIFS(Connections!$B:$B,$A12,Connections!$C:$C,AC$1)&gt;0,1,"")</x:f>
      </x:c>
      <x:c r="AD12" s="34" t="str">
        <x:f>IF(COUNTIFS(Connections!$B:$B,$A12,Connections!$C:$C,AD$1)&gt;0,1,"")</x:f>
      </x:c>
      <x:c r="AE12" s="34" t="n">
        <x:f>IF(COUNTIFS(Connections!$B:$B,$A12,Connections!$C:$C,AE$1)&gt;0,1,"")</x:f>
        <x:v>1</x:v>
      </x:c>
      <x:c r="AF12" s="34" t="str">
        <x:f>IF(COUNTIFS(Connections!$B:$B,$A12,Connections!$C:$C,AF$1)&gt;0,1,"")</x:f>
      </x:c>
      <x:c r="AG12" s="34" t="str">
        <x:f>IF(COUNTIFS(Connections!$B:$B,$A12,Connections!$C:$C,AG$1)&gt;0,1,"")</x:f>
      </x:c>
      <x:c r="AH12" s="34" t="str">
        <x:f>IF(COUNTIFS(Connections!$B:$B,$A12,Connections!$C:$C,AH$1)&gt;0,1,"")</x:f>
      </x:c>
      <x:c r="AI12" s="34" t="str">
        <x:f>IF(COUNTIFS(Connections!$B:$B,$A12,Connections!$C:$C,AI$1)&gt;0,1,"")</x:f>
      </x:c>
      <x:c r="AJ12" s="34" t="str">
        <x:f>IF(COUNTIFS(Connections!$B:$B,$A12,Connections!$C:$C,AJ$1)&gt;0,1,"")</x:f>
      </x:c>
      <x:c r="AK12" s="34" t="str">
        <x:f>IF(COUNTIFS(Connections!$B:$B,$A12,Connections!$C:$C,AK$1)&gt;0,1,"")</x:f>
      </x:c>
      <x:c r="AL12" s="34" t="str">
        <x:f>IF(COUNTIFS(Connections!$B:$B,$A12,Connections!$C:$C,AL$1)&gt;0,1,"")</x:f>
      </x:c>
      <x:c r="AM12" s="78" t="str">
        <x:f>IF(COUNTIFS(Connections!$B:$B,$A12,Connections!$C:$C,AM$1)&gt;0,1,"")</x:f>
      </x:c>
      <x:c r="AN12" s="34" t="str">
        <x:f>IF(COUNTIFS(Connections!$B:$B,$A12,Connections!$C:$C,AN$1)&gt;0,1,"")</x:f>
      </x:c>
      <x:c r="AO12" s="34" t="n">
        <x:f>IF(COUNTIFS(Connections!$B:$B,$A12,Connections!$C:$C,AO$1)&gt;0,1,"")</x:f>
        <x:v>1</x:v>
      </x:c>
      <x:c r="AP12" s="34" t="str">
        <x:f>IF(COUNTIFS(Connections!$B:$B,$A12,Connections!$C:$C,AP$1)&gt;0,1,"")</x:f>
      </x:c>
      <x:c r="AQ12" s="78" t="str">
        <x:f>IF(COUNTIFS(Connections!$B:$B,$A12,Connections!$C:$C,AQ$1)&gt;0,1,"")</x:f>
      </x:c>
      <x:c r="AR12" s="34" t="str">
        <x:f>IF(COUNTIFS(Connections!$B:$B,$A12,Connections!$C:$C,AR$1)&gt;0,1,"")</x:f>
      </x:c>
      <x:c r="AS12" s="34" t="n">
        <x:f>IF(COUNTIFS(Connections!$B:$B,$A12,Connections!$C:$C,AS$1)&gt;0,1,"")</x:f>
        <x:v>1</x:v>
      </x:c>
      <x:c r="AT12" s="34" t="str">
        <x:f>IF(COUNTIFS(Connections!$B:$B,$A12,Connections!$C:$C,AT$1)&gt;0,1,"")</x:f>
      </x:c>
      <x:c r="AU12" s="34" t="str">
        <x:f>IF(COUNTIFS(Connections!$B:$B,$A12,Connections!$C:$C,AU$1)&gt;0,1,"")</x:f>
      </x:c>
      <x:c r="AV12" s="34" t="str">
        <x:f>IF(COUNTIFS(Connections!$B:$B,$A12,Connections!$C:$C,AV$1)&gt;0,1,"")</x:f>
      </x:c>
    </x:row>
    <x:row r="13">
      <x:c r="A13" s="96" t="str">
        <x:v>PhoneWalletKeys</x:v>
      </x:c>
      <x:c r="B13" s="96" t="str">
        <x:v>Construction</x:v>
      </x:c>
      <x:c r="C13" s="78" t="n">
        <x:f>IF(COUNTIFS(Connections!$B:$B,$A13,Connections!$C:$C,C$1)&gt;0,1,"")</x:f>
        <x:v>1</x:v>
      </x:c>
      <x:c r="D13" s="78" t="n">
        <x:f>IF(COUNTIFS(Connections!$B:$B,$A13,Connections!$C:$C,D$1)&gt;0,1,"")</x:f>
        <x:v>1</x:v>
      </x:c>
      <x:c r="E13" s="34" t="str">
        <x:f>IF(COUNTIFS(Connections!$B:$B,$A13,Connections!$C:$C,E$1)&gt;0,1,"")</x:f>
      </x:c>
      <x:c r="F13" s="34" t="str">
        <x:f>IF(COUNTIFS(Connections!$B:$B,$A13,Connections!$C:$C,F$1)&gt;0,1,"")</x:f>
      </x:c>
      <x:c r="G13" s="34" t="str">
        <x:f>IF(COUNTIFS(Connections!$B:$B,$A13,Connections!$C:$C,G$1)&gt;0,1,"")</x:f>
      </x:c>
      <x:c r="H13" s="78" t="n">
        <x:f>IF(COUNTIFS(Connections!$B:$B,$A13,Connections!$C:$C,H$1)&gt;0,1,"")</x:f>
        <x:v>1</x:v>
      </x:c>
      <x:c r="I13" s="34" t="str">
        <x:f>IF(COUNTIFS(Connections!$B:$B,$A13,Connections!$C:$C,I$1)&gt;0,1,"")</x:f>
      </x:c>
      <x:c r="J13" s="34" t="n">
        <x:f>IF(COUNTIFS(Connections!$B:$B,$A13,Connections!$C:$C,J$1)&gt;0,1,"")</x:f>
        <x:v>1</x:v>
      </x:c>
      <x:c r="K13" s="78" t="str">
        <x:f>IF(COUNTIFS(Connections!$B:$B,$A13,Connections!$C:$C,K$1)&gt;0,1,"")</x:f>
      </x:c>
      <x:c r="L13" s="34" t="str">
        <x:f>IF(COUNTIFS(Connections!$B:$B,$A13,Connections!$C:$C,L$1)&gt;0,1,"")</x:f>
      </x:c>
      <x:c r="M13" s="78" t="str">
        <x:f>IF(COUNTIFS(Connections!$B:$B,$A13,Connections!$C:$C,M$1)&gt;0,1,"")</x:f>
      </x:c>
      <x:c r="N13" s="34" t="str">
        <x:f>IF(COUNTIFS(Connections!$B:$B,$A13,Connections!$C:$C,N$1)&gt;0,1,"")</x:f>
      </x:c>
      <x:c r="O13" s="34" t="str">
        <x:f>IF(COUNTIFS(Connections!$B:$B,$A13,Connections!$C:$C,O$1)&gt;0,1,"")</x:f>
      </x:c>
      <x:c r="P13" s="34" t="n">
        <x:f>IF(COUNTIFS(Connections!$B:$B,$A13,Connections!$C:$C,P$1)&gt;0,1,"")</x:f>
        <x:v>1</x:v>
      </x:c>
      <x:c r="Q13" s="34" t="str">
        <x:f>IF(COUNTIFS(Connections!$B:$B,$A13,Connections!$C:$C,Q$1)&gt;0,1,"")</x:f>
      </x:c>
      <x:c r="R13" s="34" t="str">
        <x:f>IF(COUNTIFS(Connections!$B:$B,$A13,Connections!$C:$C,R$1)&gt;0,1,"")</x:f>
      </x:c>
      <x:c r="S13" s="34" t="str">
        <x:f>IF(COUNTIFS(Connections!$B:$B,$A13,Connections!$C:$C,S$1)&gt;0,1,"")</x:f>
      </x:c>
      <x:c r="T13" s="34" t="str">
        <x:f>IF(COUNTIFS(Connections!$B:$B,$A13,Connections!$C:$C,T$1)&gt;0,1,"")</x:f>
      </x:c>
      <x:c r="U13" s="34" t="str">
        <x:f>IF(COUNTIFS(Connections!$B:$B,$A13,Connections!$C:$C,U$1)&gt;0,1,"")</x:f>
      </x:c>
      <x:c r="V13" s="34" t="str">
        <x:f>IF(COUNTIFS(Connections!$B:$B,$A13,Connections!$C:$C,V$1)&gt;0,1,"")</x:f>
      </x:c>
      <x:c r="W13" s="78" t="n">
        <x:f>IF(COUNTIFS(Connections!$B:$B,$A13,Connections!$C:$C,W$1)&gt;0,1,"")</x:f>
        <x:v>1</x:v>
      </x:c>
      <x:c r="X13" s="34" t="str">
        <x:f>IF(COUNTIFS(Connections!$B:$B,$A13,Connections!$C:$C,X$1)&gt;0,1,"")</x:f>
      </x:c>
      <x:c r="Y13" s="34" t="str">
        <x:f>IF(COUNTIFS(Connections!$B:$B,$A13,Connections!$C:$C,Y$1)&gt;0,1,"")</x:f>
      </x:c>
      <x:c r="Z13" s="34" t="str">
        <x:f>IF(COUNTIFS(Connections!$B:$B,$A13,Connections!$C:$C,Z$1)&gt;0,1,"")</x:f>
      </x:c>
      <x:c r="AA13" s="34" t="str">
        <x:f>IF(COUNTIFS(Connections!$B:$B,$A13,Connections!$C:$C,AA$1)&gt;0,1,"")</x:f>
      </x:c>
      <x:c r="AB13" s="34" t="str">
        <x:f>IF(COUNTIFS(Connections!$B:$B,$A13,Connections!$C:$C,AB$1)&gt;0,1,"")</x:f>
      </x:c>
      <x:c r="AC13" s="34" t="str">
        <x:f>IF(COUNTIFS(Connections!$B:$B,$A13,Connections!$C:$C,AC$1)&gt;0,1,"")</x:f>
      </x:c>
      <x:c r="AD13" s="34" t="str">
        <x:f>IF(COUNTIFS(Connections!$B:$B,$A13,Connections!$C:$C,AD$1)&gt;0,1,"")</x:f>
      </x:c>
      <x:c r="AE13" s="34" t="str">
        <x:f>IF(COUNTIFS(Connections!$B:$B,$A13,Connections!$C:$C,AE$1)&gt;0,1,"")</x:f>
      </x:c>
      <x:c r="AF13" s="78" t="str">
        <x:f>IF(COUNTIFS(Connections!$B:$B,$A13,Connections!$C:$C,AF$1)&gt;0,1,"")</x:f>
      </x:c>
      <x:c r="AG13" s="34" t="str">
        <x:f>IF(COUNTIFS(Connections!$B:$B,$A13,Connections!$C:$C,AG$1)&gt;0,1,"")</x:f>
      </x:c>
      <x:c r="AH13" s="34" t="str">
        <x:f>IF(COUNTIFS(Connections!$B:$B,$A13,Connections!$C:$C,AH$1)&gt;0,1,"")</x:f>
      </x:c>
      <x:c r="AI13" s="34" t="str">
        <x:f>IF(COUNTIFS(Connections!$B:$B,$A13,Connections!$C:$C,AI$1)&gt;0,1,"")</x:f>
      </x:c>
      <x:c r="AJ13" s="34" t="n">
        <x:f>IF(COUNTIFS(Connections!$B:$B,$A13,Connections!$C:$C,AJ$1)&gt;0,1,"")</x:f>
        <x:v>1</x:v>
      </x:c>
      <x:c r="AK13" s="34" t="str">
        <x:f>IF(COUNTIFS(Connections!$B:$B,$A13,Connections!$C:$C,AK$1)&gt;0,1,"")</x:f>
      </x:c>
      <x:c r="AL13" s="34" t="str">
        <x:f>IF(COUNTIFS(Connections!$B:$B,$A13,Connections!$C:$C,AL$1)&gt;0,1,"")</x:f>
      </x:c>
      <x:c r="AM13" s="34" t="str">
        <x:f>IF(COUNTIFS(Connections!$B:$B,$A13,Connections!$C:$C,AM$1)&gt;0,1,"")</x:f>
      </x:c>
      <x:c r="AN13" s="34" t="str">
        <x:f>IF(COUNTIFS(Connections!$B:$B,$A13,Connections!$C:$C,AN$1)&gt;0,1,"")</x:f>
      </x:c>
      <x:c r="AO13" s="34" t="str">
        <x:f>IF(COUNTIFS(Connections!$B:$B,$A13,Connections!$C:$C,AO$1)&gt;0,1,"")</x:f>
      </x:c>
      <x:c r="AP13" s="34" t="str">
        <x:f>IF(COUNTIFS(Connections!$B:$B,$A13,Connections!$C:$C,AP$1)&gt;0,1,"")</x:f>
      </x:c>
      <x:c r="AQ13" s="34" t="str">
        <x:f>IF(COUNTIFS(Connections!$B:$B,$A13,Connections!$C:$C,AQ$1)&gt;0,1,"")</x:f>
      </x:c>
      <x:c r="AR13" s="34" t="str">
        <x:f>IF(COUNTIFS(Connections!$B:$B,$A13,Connections!$C:$C,AR$1)&gt;0,1,"")</x:f>
      </x:c>
      <x:c r="AS13" s="34" t="str">
        <x:f>IF(COUNTIFS(Connections!$B:$B,$A13,Connections!$C:$C,AS$1)&gt;0,1,"")</x:f>
      </x:c>
      <x:c r="AT13" s="34" t="str">
        <x:f>IF(COUNTIFS(Connections!$B:$B,$A13,Connections!$C:$C,AT$1)&gt;0,1,"")</x:f>
      </x:c>
      <x:c r="AU13" s="34" t="str">
        <x:f>IF(COUNTIFS(Connections!$B:$B,$A13,Connections!$C:$C,AU$1)&gt;0,1,"")</x:f>
      </x:c>
      <x:c r="AV13" s="34" t="str">
        <x:f>IF(COUNTIFS(Connections!$B:$B,$A13,Connections!$C:$C,AV$1)&gt;0,1,"")</x:f>
      </x:c>
    </x:row>
    <x:row r="14">
      <x:c r="A14" s="96" t="str">
        <x:v>FuckYourFeelings</x:v>
      </x:c>
      <x:c r="B14" s="96" t="str">
        <x:v>Construction</x:v>
      </x:c>
      <x:c r="C14" s="34" t="str">
        <x:f>IF(COUNTIFS(Connections!$B:$B,$A14,Connections!$C:$C,C$1)&gt;0,1,"")</x:f>
      </x:c>
      <x:c r="D14" s="34" t="str">
        <x:f>IF(COUNTIFS(Connections!$B:$B,$A14,Connections!$C:$C,D$1)&gt;0,1,"")</x:f>
      </x:c>
      <x:c r="E14" s="78" t="str">
        <x:f>IF(COUNTIFS(Connections!$B:$B,$A14,Connections!$C:$C,E$1)&gt;0,1,"")</x:f>
      </x:c>
      <x:c r="F14" s="34" t="n">
        <x:f>IF(COUNTIFS(Connections!$B:$B,$A14,Connections!$C:$C,F$1)&gt;0,1,"")</x:f>
        <x:v>1</x:v>
      </x:c>
      <x:c r="G14" s="34" t="str">
        <x:f>IF(COUNTIFS(Connections!$B:$B,$A14,Connections!$C:$C,G$1)&gt;0,1,"")</x:f>
      </x:c>
      <x:c r="H14" s="34" t="str">
        <x:f>IF(COUNTIFS(Connections!$B:$B,$A14,Connections!$C:$C,H$1)&gt;0,1,"")</x:f>
      </x:c>
      <x:c r="I14" s="78" t="n">
        <x:f>IF(COUNTIFS(Connections!$B:$B,$A14,Connections!$C:$C,I$1)&gt;0,1,"")</x:f>
        <x:v>1</x:v>
      </x:c>
      <x:c r="J14" s="78" t="str">
        <x:f>IF(COUNTIFS(Connections!$B:$B,$A14,Connections!$C:$C,J$1)&gt;0,1,"")</x:f>
      </x:c>
      <x:c r="K14" s="34" t="n">
        <x:f>IF(COUNTIFS(Connections!$B:$B,$A14,Connections!$C:$C,K$1)&gt;0,1,"")</x:f>
        <x:v>1</x:v>
      </x:c>
      <x:c r="L14" s="78" t="str">
        <x:f>IF(COUNTIFS(Connections!$B:$B,$A14,Connections!$C:$C,L$1)&gt;0,1,"")</x:f>
      </x:c>
      <x:c r="M14" s="34" t="n">
        <x:f>IF(COUNTIFS(Connections!$B:$B,$A14,Connections!$C:$C,M$1)&gt;0,1,"")</x:f>
        <x:v>1</x:v>
      </x:c>
      <x:c r="N14" s="34" t="str">
        <x:f>IF(COUNTIFS(Connections!$B:$B,$A14,Connections!$C:$C,N$1)&gt;0,1,"")</x:f>
      </x:c>
      <x:c r="O14" s="34" t="str">
        <x:f>IF(COUNTIFS(Connections!$B:$B,$A14,Connections!$C:$C,O$1)&gt;0,1,"")</x:f>
      </x:c>
      <x:c r="P14" s="34" t="str">
        <x:f>IF(COUNTIFS(Connections!$B:$B,$A14,Connections!$C:$C,P$1)&gt;0,1,"")</x:f>
      </x:c>
      <x:c r="Q14" s="78" t="str">
        <x:f>IF(COUNTIFS(Connections!$B:$B,$A14,Connections!$C:$C,Q$1)&gt;0,1,"")</x:f>
      </x:c>
      <x:c r="R14" s="34" t="n">
        <x:f>IF(COUNTIFS(Connections!$B:$B,$A14,Connections!$C:$C,R$1)&gt;0,1,"")</x:f>
        <x:v>1</x:v>
      </x:c>
      <x:c r="S14" s="78" t="n">
        <x:f>IF(COUNTIFS(Connections!$B:$B,$A14,Connections!$C:$C,S$1)&gt;0,1,"")</x:f>
        <x:v>1</x:v>
      </x:c>
      <x:c r="T14" s="78" t="str">
        <x:f>IF(COUNTIFS(Connections!$B:$B,$A14,Connections!$C:$C,T$1)&gt;0,1,"")</x:f>
      </x:c>
      <x:c r="U14" s="78" t="str">
        <x:f>IF(COUNTIFS(Connections!$B:$B,$A14,Connections!$C:$C,U$1)&gt;0,1,"")</x:f>
      </x:c>
      <x:c r="V14" s="34" t="n">
        <x:f>IF(COUNTIFS(Connections!$B:$B,$A14,Connections!$C:$C,V$1)&gt;0,1,"")</x:f>
        <x:v>1</x:v>
      </x:c>
      <x:c r="W14" s="34" t="str">
        <x:f>IF(COUNTIFS(Connections!$B:$B,$A14,Connections!$C:$C,W$1)&gt;0,1,"")</x:f>
      </x:c>
      <x:c r="X14" s="34" t="n">
        <x:f>IF(COUNTIFS(Connections!$B:$B,$A14,Connections!$C:$C,X$1)&gt;0,1,"")</x:f>
        <x:v>1</x:v>
      </x:c>
      <x:c r="Y14" s="34" t="str">
        <x:f>IF(COUNTIFS(Connections!$B:$B,$A14,Connections!$C:$C,Y$1)&gt;0,1,"")</x:f>
      </x:c>
      <x:c r="Z14" s="78" t="str">
        <x:f>IF(COUNTIFS(Connections!$B:$B,$A14,Connections!$C:$C,Z$1)&gt;0,1,"")</x:f>
      </x:c>
      <x:c r="AA14" s="34" t="str">
        <x:f>IF(COUNTIFS(Connections!$B:$B,$A14,Connections!$C:$C,AA$1)&gt;0,1,"")</x:f>
      </x:c>
      <x:c r="AB14" s="34" t="str">
        <x:f>IF(COUNTIFS(Connections!$B:$B,$A14,Connections!$C:$C,AB$1)&gt;0,1,"")</x:f>
      </x:c>
      <x:c r="AC14" s="34" t="str">
        <x:f>IF(COUNTIFS(Connections!$B:$B,$A14,Connections!$C:$C,AC$1)&gt;0,1,"")</x:f>
      </x:c>
      <x:c r="AD14" s="78" t="n">
        <x:f>IF(COUNTIFS(Connections!$B:$B,$A14,Connections!$C:$C,AD$1)&gt;0,1,"")</x:f>
        <x:v>1</x:v>
      </x:c>
      <x:c r="AE14" s="34" t="str">
        <x:f>IF(COUNTIFS(Connections!$B:$B,$A14,Connections!$C:$C,AE$1)&gt;0,1,"")</x:f>
      </x:c>
      <x:c r="AF14" s="34" t="str">
        <x:f>IF(COUNTIFS(Connections!$B:$B,$A14,Connections!$C:$C,AF$1)&gt;0,1,"")</x:f>
      </x:c>
      <x:c r="AG14" s="34" t="str">
        <x:f>IF(COUNTIFS(Connections!$B:$B,$A14,Connections!$C:$C,AG$1)&gt;0,1,"")</x:f>
      </x:c>
      <x:c r="AH14" s="34" t="n">
        <x:f>IF(COUNTIFS(Connections!$B:$B,$A14,Connections!$C:$C,AH$1)&gt;0,1,"")</x:f>
        <x:v>1</x:v>
      </x:c>
      <x:c r="AI14" s="34" t="str">
        <x:f>IF(COUNTIFS(Connections!$B:$B,$A14,Connections!$C:$C,AI$1)&gt;0,1,"")</x:f>
      </x:c>
      <x:c r="AJ14" s="34" t="str">
        <x:f>IF(COUNTIFS(Connections!$B:$B,$A14,Connections!$C:$C,AJ$1)&gt;0,1,"")</x:f>
      </x:c>
      <x:c r="AK14" s="34" t="str">
        <x:f>IF(COUNTIFS(Connections!$B:$B,$A14,Connections!$C:$C,AK$1)&gt;0,1,"")</x:f>
      </x:c>
      <x:c r="AL14" s="78" t="str">
        <x:f>IF(COUNTIFS(Connections!$B:$B,$A14,Connections!$C:$C,AL$1)&gt;0,1,"")</x:f>
      </x:c>
      <x:c r="AM14" s="34" t="str">
        <x:f>IF(COUNTIFS(Connections!$B:$B,$A14,Connections!$C:$C,AM$1)&gt;0,1,"")</x:f>
      </x:c>
      <x:c r="AN14" s="34" t="n">
        <x:f>IF(COUNTIFS(Connections!$B:$B,$A14,Connections!$C:$C,AN$1)&gt;0,1,"")</x:f>
        <x:v>1</x:v>
      </x:c>
      <x:c r="AO14" s="34" t="str">
        <x:f>IF(COUNTIFS(Connections!$B:$B,$A14,Connections!$C:$C,AO$1)&gt;0,1,"")</x:f>
      </x:c>
      <x:c r="AP14" s="34" t="str">
        <x:f>IF(COUNTIFS(Connections!$B:$B,$A14,Connections!$C:$C,AP$1)&gt;0,1,"")</x:f>
      </x:c>
      <x:c r="AQ14" s="34" t="str">
        <x:f>IF(COUNTIFS(Connections!$B:$B,$A14,Connections!$C:$C,AQ$1)&gt;0,1,"")</x:f>
      </x:c>
      <x:c r="AR14" s="34" t="str">
        <x:f>IF(COUNTIFS(Connections!$B:$B,$A14,Connections!$C:$C,AR$1)&gt;0,1,"")</x:f>
      </x:c>
      <x:c r="AS14" s="34" t="str">
        <x:f>IF(COUNTIFS(Connections!$B:$B,$A14,Connections!$C:$C,AS$1)&gt;0,1,"")</x:f>
      </x:c>
      <x:c r="AT14" s="34" t="str">
        <x:f>IF(COUNTIFS(Connections!$B:$B,$A14,Connections!$C:$C,AT$1)&gt;0,1,"")</x:f>
      </x:c>
      <x:c r="AU14" s="34" t="str">
        <x:f>IF(COUNTIFS(Connections!$B:$B,$A14,Connections!$C:$C,AU$1)&gt;0,1,"")</x:f>
      </x:c>
      <x:c r="AV14" s="34" t="str">
        <x:f>IF(COUNTIFS(Connections!$B:$B,$A14,Connections!$C:$C,AV$1)&gt;0,1,"")</x:f>
      </x:c>
    </x:row>
    <x:row r="15">
      <x:c r="A15" s="96" t="str">
        <x:v>Weight</x:v>
      </x:c>
      <x:c r="B15" s="96" t="str">
        <x:v>Construction</x:v>
      </x:c>
      <x:c r="C15" s="78" t="n">
        <x:f>IF(COUNTIFS(Connections!$B:$B,$A15,Connections!$C:$C,C$1)&gt;0,1,"")</x:f>
        <x:v>1</x:v>
      </x:c>
      <x:c r="D15" s="78" t="n">
        <x:f>IF(COUNTIFS(Connections!$B:$B,$A15,Connections!$C:$C,D$1)&gt;0,1,"")</x:f>
        <x:v>1</x:v>
      </x:c>
      <x:c r="E15" s="78" t="n">
        <x:f>IF(COUNTIFS(Connections!$B:$B,$A15,Connections!$C:$C,E$1)&gt;0,1,"")</x:f>
        <x:v>1</x:v>
      </x:c>
      <x:c r="F15" s="34" t="n">
        <x:f>IF(COUNTIFS(Connections!$B:$B,$A15,Connections!$C:$C,F$1)&gt;0,1,"")</x:f>
        <x:v>1</x:v>
      </x:c>
      <x:c r="G15" s="78" t="str">
        <x:f>IF(COUNTIFS(Connections!$B:$B,$A15,Connections!$C:$C,G$1)&gt;0,1,"")</x:f>
      </x:c>
      <x:c r="H15" s="34" t="str">
        <x:f>IF(COUNTIFS(Connections!$B:$B,$A15,Connections!$C:$C,H$1)&gt;0,1,"")</x:f>
      </x:c>
      <x:c r="I15" s="78" t="n">
        <x:f>IF(COUNTIFS(Connections!$B:$B,$A15,Connections!$C:$C,I$1)&gt;0,1,"")</x:f>
        <x:v>1</x:v>
      </x:c>
      <x:c r="J15" s="78" t="str">
        <x:f>IF(COUNTIFS(Connections!$B:$B,$A15,Connections!$C:$C,J$1)&gt;0,1,"")</x:f>
      </x:c>
      <x:c r="K15" s="34" t="str">
        <x:f>IF(COUNTIFS(Connections!$B:$B,$A15,Connections!$C:$C,K$1)&gt;0,1,"")</x:f>
      </x:c>
      <x:c r="L15" s="34" t="str">
        <x:f>IF(COUNTIFS(Connections!$B:$B,$A15,Connections!$C:$C,L$1)&gt;0,1,"")</x:f>
      </x:c>
      <x:c r="M15" s="34" t="n">
        <x:f>IF(COUNTIFS(Connections!$B:$B,$A15,Connections!$C:$C,M$1)&gt;0,1,"")</x:f>
        <x:v>1</x:v>
      </x:c>
      <x:c r="N15" s="34" t="n">
        <x:f>IF(COUNTIFS(Connections!$B:$B,$A15,Connections!$C:$C,N$1)&gt;0,1,"")</x:f>
        <x:v>1</x:v>
      </x:c>
      <x:c r="O15" s="78" t="str">
        <x:f>IF(COUNTIFS(Connections!$B:$B,$A15,Connections!$C:$C,O$1)&gt;0,1,"")</x:f>
      </x:c>
      <x:c r="P15" s="34" t="str">
        <x:f>IF(COUNTIFS(Connections!$B:$B,$A15,Connections!$C:$C,P$1)&gt;0,1,"")</x:f>
      </x:c>
      <x:c r="Q15" s="34" t="str">
        <x:f>IF(COUNTIFS(Connections!$B:$B,$A15,Connections!$C:$C,Q$1)&gt;0,1,"")</x:f>
      </x:c>
      <x:c r="R15" s="34" t="str">
        <x:f>IF(COUNTIFS(Connections!$B:$B,$A15,Connections!$C:$C,R$1)&gt;0,1,"")</x:f>
      </x:c>
      <x:c r="S15" s="34" t="n">
        <x:f>IF(COUNTIFS(Connections!$B:$B,$A15,Connections!$C:$C,S$1)&gt;0,1,"")</x:f>
        <x:v>1</x:v>
      </x:c>
      <x:c r="T15" s="78" t="str">
        <x:f>IF(COUNTIFS(Connections!$B:$B,$A15,Connections!$C:$C,T$1)&gt;0,1,"")</x:f>
      </x:c>
      <x:c r="U15" s="34" t="n">
        <x:f>IF(COUNTIFS(Connections!$B:$B,$A15,Connections!$C:$C,U$1)&gt;0,1,"")</x:f>
        <x:v>1</x:v>
      </x:c>
      <x:c r="V15" s="78" t="str">
        <x:f>IF(COUNTIFS(Connections!$B:$B,$A15,Connections!$C:$C,V$1)&gt;0,1,"")</x:f>
      </x:c>
      <x:c r="W15" s="34" t="str">
        <x:f>IF(COUNTIFS(Connections!$B:$B,$A15,Connections!$C:$C,W$1)&gt;0,1,"")</x:f>
      </x:c>
      <x:c r="X15" s="34" t="str">
        <x:f>IF(COUNTIFS(Connections!$B:$B,$A15,Connections!$C:$C,X$1)&gt;0,1,"")</x:f>
      </x:c>
      <x:c r="Y15" s="34" t="str">
        <x:f>IF(COUNTIFS(Connections!$B:$B,$A15,Connections!$C:$C,Y$1)&gt;0,1,"")</x:f>
      </x:c>
      <x:c r="Z15" s="34" t="str">
        <x:f>IF(COUNTIFS(Connections!$B:$B,$A15,Connections!$C:$C,Z$1)&gt;0,1,"")</x:f>
      </x:c>
      <x:c r="AA15" s="34" t="str">
        <x:f>IF(COUNTIFS(Connections!$B:$B,$A15,Connections!$C:$C,AA$1)&gt;0,1,"")</x:f>
      </x:c>
      <x:c r="AB15" s="34" t="str">
        <x:f>IF(COUNTIFS(Connections!$B:$B,$A15,Connections!$C:$C,AB$1)&gt;0,1,"")</x:f>
      </x:c>
      <x:c r="AC15" s="34" t="n">
        <x:f>IF(COUNTIFS(Connections!$B:$B,$A15,Connections!$C:$C,AC$1)&gt;0,1,"")</x:f>
        <x:v>1</x:v>
      </x:c>
      <x:c r="AD15" s="34" t="str">
        <x:f>IF(COUNTIFS(Connections!$B:$B,$A15,Connections!$C:$C,AD$1)&gt;0,1,"")</x:f>
      </x:c>
      <x:c r="AE15" s="34" t="str">
        <x:f>IF(COUNTIFS(Connections!$B:$B,$A15,Connections!$C:$C,AE$1)&gt;0,1,"")</x:f>
      </x:c>
      <x:c r="AF15" s="34" t="str">
        <x:f>IF(COUNTIFS(Connections!$B:$B,$A15,Connections!$C:$C,AF$1)&gt;0,1,"")</x:f>
      </x:c>
      <x:c r="AG15" s="34" t="str">
        <x:f>IF(COUNTIFS(Connections!$B:$B,$A15,Connections!$C:$C,AG$1)&gt;0,1,"")</x:f>
      </x:c>
      <x:c r="AH15" s="34" t="str">
        <x:f>IF(COUNTIFS(Connections!$B:$B,$A15,Connections!$C:$C,AH$1)&gt;0,1,"")</x:f>
      </x:c>
      <x:c r="AI15" s="34" t="str">
        <x:f>IF(COUNTIFS(Connections!$B:$B,$A15,Connections!$C:$C,AI$1)&gt;0,1,"")</x:f>
      </x:c>
      <x:c r="AJ15" s="34" t="str">
        <x:f>IF(COUNTIFS(Connections!$B:$B,$A15,Connections!$C:$C,AJ$1)&gt;0,1,"")</x:f>
      </x:c>
      <x:c r="AK15" s="34" t="str">
        <x:f>IF(COUNTIFS(Connections!$B:$B,$A15,Connections!$C:$C,AK$1)&gt;0,1,"")</x:f>
      </x:c>
      <x:c r="AL15" s="34" t="str">
        <x:f>IF(COUNTIFS(Connections!$B:$B,$A15,Connections!$C:$C,AL$1)&gt;0,1,"")</x:f>
      </x:c>
      <x:c r="AM15" s="34" t="str">
        <x:f>IF(COUNTIFS(Connections!$B:$B,$A15,Connections!$C:$C,AM$1)&gt;0,1,"")</x:f>
      </x:c>
      <x:c r="AN15" s="34" t="str">
        <x:f>IF(COUNTIFS(Connections!$B:$B,$A15,Connections!$C:$C,AN$1)&gt;0,1,"")</x:f>
      </x:c>
      <x:c r="AO15" s="34" t="str">
        <x:f>IF(COUNTIFS(Connections!$B:$B,$A15,Connections!$C:$C,AO$1)&gt;0,1,"")</x:f>
      </x:c>
      <x:c r="AP15" s="34" t="str">
        <x:f>IF(COUNTIFS(Connections!$B:$B,$A15,Connections!$C:$C,AP$1)&gt;0,1,"")</x:f>
      </x:c>
      <x:c r="AQ15" s="34" t="str">
        <x:f>IF(COUNTIFS(Connections!$B:$B,$A15,Connections!$C:$C,AQ$1)&gt;0,1,"")</x:f>
      </x:c>
      <x:c r="AR15" s="34" t="str">
        <x:f>IF(COUNTIFS(Connections!$B:$B,$A15,Connections!$C:$C,AR$1)&gt;0,1,"")</x:f>
      </x:c>
      <x:c r="AS15" s="78" t="str">
        <x:f>IF(COUNTIFS(Connections!$B:$B,$A15,Connections!$C:$C,AS$1)&gt;0,1,"")</x:f>
      </x:c>
      <x:c r="AT15" s="78" t="str">
        <x:f>IF(COUNTIFS(Connections!$B:$B,$A15,Connections!$C:$C,AT$1)&gt;0,1,"")</x:f>
      </x:c>
      <x:c r="AU15" s="34" t="str">
        <x:f>IF(COUNTIFS(Connections!$B:$B,$A15,Connections!$C:$C,AU$1)&gt;0,1,"")</x:f>
      </x:c>
      <x:c r="AV15" s="34" t="n">
        <x:f>IF(COUNTIFS(Connections!$B:$B,$A15,Connections!$C:$C,AV$1)&gt;0,1,"")</x:f>
        <x:v>1</x:v>
      </x:c>
    </x:row>
    <x:row r="16">
      <x:c r="A16" s="97" t="str">
        <x:v>WhatchyaDoin</x:v>
      </x:c>
      <x:c r="B16" s="97" t="str">
        <x:v>Action</x:v>
      </x:c>
      <x:c r="C16" s="34" t="n">
        <x:f>IF(COUNTIFS(Connections!$B:$B,$A16,Connections!$C:$C,C$1)&gt;0,1,"")</x:f>
        <x:v>1</x:v>
      </x:c>
      <x:c r="D16" s="34" t="str">
        <x:f>IF(COUNTIFS(Connections!$B:$B,$A16,Connections!$C:$C,D$1)&gt;0,1,"")</x:f>
      </x:c>
      <x:c r="E16" s="34" t="n">
        <x:f>IF(COUNTIFS(Connections!$B:$B,$A16,Connections!$C:$C,E$1)&gt;0,1,"")</x:f>
        <x:v>1</x:v>
      </x:c>
      <x:c r="F16" s="34" t="str">
        <x:f>IF(COUNTIFS(Connections!$B:$B,$A16,Connections!$C:$C,F$1)&gt;0,1,"")</x:f>
      </x:c>
      <x:c r="G16" s="34" t="str">
        <x:f>IF(COUNTIFS(Connections!$B:$B,$A16,Connections!$C:$C,G$1)&gt;0,1,"")</x:f>
      </x:c>
      <x:c r="H16" s="34" t="n">
        <x:f>IF(COUNTIFS(Connections!$B:$B,$A16,Connections!$C:$C,H$1)&gt;0,1,"")</x:f>
        <x:v>1</x:v>
      </x:c>
      <x:c r="I16" s="34" t="str">
        <x:f>IF(COUNTIFS(Connections!$B:$B,$A16,Connections!$C:$C,I$1)&gt;0,1,"")</x:f>
      </x:c>
      <x:c r="J16" s="34" t="str">
        <x:f>IF(COUNTIFS(Connections!$B:$B,$A16,Connections!$C:$C,J$1)&gt;0,1,"")</x:f>
      </x:c>
      <x:c r="K16" s="34" t="str">
        <x:f>IF(COUNTIFS(Connections!$B:$B,$A16,Connections!$C:$C,K$1)&gt;0,1,"")</x:f>
      </x:c>
      <x:c r="L16" s="34" t="n">
        <x:f>IF(COUNTIFS(Connections!$B:$B,$A16,Connections!$C:$C,L$1)&gt;0,1,"")</x:f>
        <x:v>1</x:v>
      </x:c>
      <x:c r="M16" s="34" t="str">
        <x:f>IF(COUNTIFS(Connections!$B:$B,$A16,Connections!$C:$C,M$1)&gt;0,1,"")</x:f>
      </x:c>
      <x:c r="N16" s="34" t="str">
        <x:f>IF(COUNTIFS(Connections!$B:$B,$A16,Connections!$C:$C,N$1)&gt;0,1,"")</x:f>
      </x:c>
      <x:c r="O16" s="34" t="str">
        <x:f>IF(COUNTIFS(Connections!$B:$B,$A16,Connections!$C:$C,O$1)&gt;0,1,"")</x:f>
      </x:c>
      <x:c r="P16" s="34" t="str">
        <x:f>IF(COUNTIFS(Connections!$B:$B,$A16,Connections!$C:$C,P$1)&gt;0,1,"")</x:f>
      </x:c>
      <x:c r="Q16" s="34" t="n">
        <x:f>IF(COUNTIFS(Connections!$B:$B,$A16,Connections!$C:$C,Q$1)&gt;0,1,"")</x:f>
        <x:v>1</x:v>
      </x:c>
      <x:c r="R16" s="34" t="str">
        <x:f>IF(COUNTIFS(Connections!$B:$B,$A16,Connections!$C:$C,R$1)&gt;0,1,"")</x:f>
      </x:c>
      <x:c r="S16" s="34" t="str">
        <x:f>IF(COUNTIFS(Connections!$B:$B,$A16,Connections!$C:$C,S$1)&gt;0,1,"")</x:f>
      </x:c>
      <x:c r="T16" s="34" t="str">
        <x:f>IF(COUNTIFS(Connections!$B:$B,$A16,Connections!$C:$C,T$1)&gt;0,1,"")</x:f>
      </x:c>
      <x:c r="U16" s="34" t="str">
        <x:f>IF(COUNTIFS(Connections!$B:$B,$A16,Connections!$C:$C,U$1)&gt;0,1,"")</x:f>
      </x:c>
      <x:c r="V16" s="34" t="str">
        <x:f>IF(COUNTIFS(Connections!$B:$B,$A16,Connections!$C:$C,V$1)&gt;0,1,"")</x:f>
      </x:c>
      <x:c r="W16" s="34" t="n">
        <x:f>IF(COUNTIFS(Connections!$B:$B,$A16,Connections!$C:$C,W$1)&gt;0,1,"")</x:f>
        <x:v>1</x:v>
      </x:c>
      <x:c r="X16" s="34" t="str">
        <x:f>IF(COUNTIFS(Connections!$B:$B,$A16,Connections!$C:$C,X$1)&gt;0,1,"")</x:f>
      </x:c>
      <x:c r="Y16" s="34" t="n">
        <x:f>IF(COUNTIFS(Connections!$B:$B,$A16,Connections!$C:$C,Y$1)&gt;0,1,"")</x:f>
        <x:v>1</x:v>
      </x:c>
      <x:c r="Z16" s="34" t="str">
        <x:f>IF(COUNTIFS(Connections!$B:$B,$A16,Connections!$C:$C,Z$1)&gt;0,1,"")</x:f>
      </x:c>
      <x:c r="AA16" s="34" t="n">
        <x:f>IF(COUNTIFS(Connections!$B:$B,$A16,Connections!$C:$C,AA$1)&gt;0,1,"")</x:f>
        <x:v>1</x:v>
      </x:c>
      <x:c r="AB16" s="34" t="str">
        <x:f>IF(COUNTIFS(Connections!$B:$B,$A16,Connections!$C:$C,AB$1)&gt;0,1,"")</x:f>
      </x:c>
      <x:c r="AC16" s="34" t="str">
        <x:f>IF(COUNTIFS(Connections!$B:$B,$A16,Connections!$C:$C,AC$1)&gt;0,1,"")</x:f>
      </x:c>
      <x:c r="AD16" s="34" t="str">
        <x:f>IF(COUNTIFS(Connections!$B:$B,$A16,Connections!$C:$C,AD$1)&gt;0,1,"")</x:f>
      </x:c>
      <x:c r="AE16" s="34" t="str">
        <x:f>IF(COUNTIFS(Connections!$B:$B,$A16,Connections!$C:$C,AE$1)&gt;0,1,"")</x:f>
      </x:c>
      <x:c r="AF16" s="34" t="str">
        <x:f>IF(COUNTIFS(Connections!$B:$B,$A16,Connections!$C:$C,AF$1)&gt;0,1,"")</x:f>
      </x:c>
      <x:c r="AG16" s="34" t="str">
        <x:f>IF(COUNTIFS(Connections!$B:$B,$A16,Connections!$C:$C,AG$1)&gt;0,1,"")</x:f>
      </x:c>
      <x:c r="AH16" s="34" t="str">
        <x:f>IF(COUNTIFS(Connections!$B:$B,$A16,Connections!$C:$C,AH$1)&gt;0,1,"")</x:f>
      </x:c>
      <x:c r="AI16" s="34" t="str">
        <x:f>IF(COUNTIFS(Connections!$B:$B,$A16,Connections!$C:$C,AI$1)&gt;0,1,"")</x:f>
      </x:c>
      <x:c r="AJ16" s="34" t="str">
        <x:f>IF(COUNTIFS(Connections!$B:$B,$A16,Connections!$C:$C,AJ$1)&gt;0,1,"")</x:f>
      </x:c>
      <x:c r="AK16" s="34" t="str">
        <x:f>IF(COUNTIFS(Connections!$B:$B,$A16,Connections!$C:$C,AK$1)&gt;0,1,"")</x:f>
      </x:c>
      <x:c r="AL16" s="34" t="str">
        <x:f>IF(COUNTIFS(Connections!$B:$B,$A16,Connections!$C:$C,AL$1)&gt;0,1,"")</x:f>
      </x:c>
      <x:c r="AM16" s="34" t="str">
        <x:f>IF(COUNTIFS(Connections!$B:$B,$A16,Connections!$C:$C,AM$1)&gt;0,1,"")</x:f>
      </x:c>
      <x:c r="AN16" s="34" t="str">
        <x:f>IF(COUNTIFS(Connections!$B:$B,$A16,Connections!$C:$C,AN$1)&gt;0,1,"")</x:f>
      </x:c>
      <x:c r="AO16" s="34" t="str">
        <x:f>IF(COUNTIFS(Connections!$B:$B,$A16,Connections!$C:$C,AO$1)&gt;0,1,"")</x:f>
      </x:c>
      <x:c r="AP16" s="34" t="str">
        <x:f>IF(COUNTIFS(Connections!$B:$B,$A16,Connections!$C:$C,AP$1)&gt;0,1,"")</x:f>
      </x:c>
      <x:c r="AQ16" s="34" t="n">
        <x:f>IF(COUNTIFS(Connections!$B:$B,$A16,Connections!$C:$C,AQ$1)&gt;0,1,"")</x:f>
        <x:v>1</x:v>
      </x:c>
      <x:c r="AR16" s="34" t="str">
        <x:f>IF(COUNTIFS(Connections!$B:$B,$A16,Connections!$C:$C,AR$1)&gt;0,1,"")</x:f>
      </x:c>
      <x:c r="AS16" s="34" t="str">
        <x:f>IF(COUNTIFS(Connections!$B:$B,$A16,Connections!$C:$C,AS$1)&gt;0,1,"")</x:f>
      </x:c>
      <x:c r="AT16" s="34" t="n">
        <x:f>IF(COUNTIFS(Connections!$B:$B,$A16,Connections!$C:$C,AT$1)&gt;0,1,"")</x:f>
        <x:v>1</x:v>
      </x:c>
      <x:c r="AU16" s="34" t="str">
        <x:f>IF(COUNTIFS(Connections!$B:$B,$A16,Connections!$C:$C,AU$1)&gt;0,1,"")</x:f>
      </x:c>
      <x:c r="AV16" s="34" t="str">
        <x:f>IF(COUNTIFS(Connections!$B:$B,$A16,Connections!$C:$C,AV$1)&gt;0,1,"")</x:f>
      </x:c>
    </x:row>
    <x:row r="17">
      <x:c r="A17" s="92" t="str">
        <x:v>FutureYou</x:v>
      </x:c>
      <x:c r="B17" s="92" t="str">
        <x:v>Integration</x:v>
      </x:c>
      <x:c r="C17" t="n">
        <x:f>IF(COUNTIFS(Connections!$B:$B,$A17,Connections!$C:$C,C$1)&gt;0,1,"")</x:f>
        <x:v>1</x:v>
      </x:c>
      <x:c r="D17" t="n">
        <x:f>IF(COUNTIFS(Connections!$B:$B,$A17,Connections!$C:$C,D$1)&gt;0,1,"")</x:f>
        <x:v>1</x:v>
      </x:c>
      <x:c r="E17" t="n">
        <x:f>IF(COUNTIFS(Connections!$B:$B,$A17,Connections!$C:$C,E$1)&gt;0,1,"")</x:f>
        <x:v>1</x:v>
      </x:c>
      <x:c r="F17" t="str">
        <x:f>IF(COUNTIFS(Connections!$B:$B,$A17,Connections!$C:$C,F$1)&gt;0,1,"")</x:f>
      </x:c>
      <x:c r="G17" t="n">
        <x:f>IF(COUNTIFS(Connections!$B:$B,$A17,Connections!$C:$C,G$1)&gt;0,1,"")</x:f>
        <x:v>1</x:v>
      </x:c>
      <x:c r="H17" t="str">
        <x:f>IF(COUNTIFS(Connections!$B:$B,$A17,Connections!$C:$C,H$1)&gt;0,1,"")</x:f>
      </x:c>
      <x:c r="I17" t="n">
        <x:f>IF(COUNTIFS(Connections!$B:$B,$A17,Connections!$C:$C,I$1)&gt;0,1,"")</x:f>
        <x:v>1</x:v>
      </x:c>
      <x:c r="J17" t="n">
        <x:f>IF(COUNTIFS(Connections!$B:$B,$A17,Connections!$C:$C,J$1)&gt;0,1,"")</x:f>
        <x:v>1</x:v>
      </x:c>
      <x:c r="K17" t="n">
        <x:f>IF(COUNTIFS(Connections!$B:$B,$A17,Connections!$C:$C,K$1)&gt;0,1,"")</x:f>
        <x:v>1</x:v>
      </x:c>
      <x:c r="L17" t="n">
        <x:f>IF(COUNTIFS(Connections!$B:$B,$A17,Connections!$C:$C,L$1)&gt;0,1,"")</x:f>
        <x:v>1</x:v>
      </x:c>
      <x:c r="M17" t="str">
        <x:f>IF(COUNTIFS(Connections!$B:$B,$A17,Connections!$C:$C,M$1)&gt;0,1,"")</x:f>
      </x:c>
      <x:c r="N17" t="n">
        <x:f>IF(COUNTIFS(Connections!$B:$B,$A17,Connections!$C:$C,N$1)&gt;0,1,"")</x:f>
        <x:v>1</x:v>
      </x:c>
      <x:c r="O17" t="n">
        <x:f>IF(COUNTIFS(Connections!$B:$B,$A17,Connections!$C:$C,O$1)&gt;0,1,"")</x:f>
        <x:v>1</x:v>
      </x:c>
      <x:c r="P17" t="str">
        <x:f>IF(COUNTIFS(Connections!$B:$B,$A17,Connections!$C:$C,P$1)&gt;0,1,"")</x:f>
      </x:c>
      <x:c r="Q17" t="n">
        <x:f>IF(COUNTIFS(Connections!$B:$B,$A17,Connections!$C:$C,Q$1)&gt;0,1,"")</x:f>
        <x:v>1</x:v>
      </x:c>
      <x:c r="R17" t="n">
        <x:f>IF(COUNTIFS(Connections!$B:$B,$A17,Connections!$C:$C,R$1)&gt;0,1,"")</x:f>
        <x:v>1</x:v>
      </x:c>
      <x:c r="S17" t="n">
        <x:f>IF(COUNTIFS(Connections!$B:$B,$A17,Connections!$C:$C,S$1)&gt;0,1,"")</x:f>
        <x:v>1</x:v>
      </x:c>
      <x:c r="T17" t="str">
        <x:f>IF(COUNTIFS(Connections!$B:$B,$A17,Connections!$C:$C,T$1)&gt;0,1,"")</x:f>
      </x:c>
      <x:c r="U17" t="n">
        <x:f>IF(COUNTIFS(Connections!$B:$B,$A17,Connections!$C:$C,U$1)&gt;0,1,"")</x:f>
        <x:v>1</x:v>
      </x:c>
      <x:c r="V17" t="str">
        <x:f>IF(COUNTIFS(Connections!$B:$B,$A17,Connections!$C:$C,V$1)&gt;0,1,"")</x:f>
      </x:c>
      <x:c r="W17" t="str">
        <x:f>IF(COUNTIFS(Connections!$B:$B,$A17,Connections!$C:$C,W$1)&gt;0,1,"")</x:f>
      </x:c>
      <x:c r="X17" t="str">
        <x:f>IF(COUNTIFS(Connections!$B:$B,$A17,Connections!$C:$C,X$1)&gt;0,1,"")</x:f>
      </x:c>
      <x:c r="Y17" t="str">
        <x:f>IF(COUNTIFS(Connections!$B:$B,$A17,Connections!$C:$C,Y$1)&gt;0,1,"")</x:f>
      </x:c>
      <x:c r="Z17" t="n">
        <x:f>IF(COUNTIFS(Connections!$B:$B,$A17,Connections!$C:$C,Z$1)&gt;0,1,"")</x:f>
        <x:v>1</x:v>
      </x:c>
      <x:c r="AA17" t="str">
        <x:f>IF(COUNTIFS(Connections!$B:$B,$A17,Connections!$C:$C,AA$1)&gt;0,1,"")</x:f>
      </x:c>
      <x:c r="AB17" t="str">
        <x:f>IF(COUNTIFS(Connections!$B:$B,$A17,Connections!$C:$C,AB$1)&gt;0,1,"")</x:f>
      </x:c>
      <x:c r="AC17" t="n">
        <x:f>IF(COUNTIFS(Connections!$B:$B,$A17,Connections!$C:$C,AC$1)&gt;0,1,"")</x:f>
        <x:v>1</x:v>
      </x:c>
      <x:c r="AD17" t="str">
        <x:f>IF(COUNTIFS(Connections!$B:$B,$A17,Connections!$C:$C,AD$1)&gt;0,1,"")</x:f>
      </x:c>
      <x:c r="AE17" t="str">
        <x:f>IF(COUNTIFS(Connections!$B:$B,$A17,Connections!$C:$C,AE$1)&gt;0,1,"")</x:f>
      </x:c>
      <x:c r="AF17" t="str">
        <x:f>IF(COUNTIFS(Connections!$B:$B,$A17,Connections!$C:$C,AF$1)&gt;0,1,"")</x:f>
      </x:c>
      <x:c r="AG17" t="str">
        <x:f>IF(COUNTIFS(Connections!$B:$B,$A17,Connections!$C:$C,AG$1)&gt;0,1,"")</x:f>
      </x:c>
      <x:c r="AH17" t="str">
        <x:f>IF(COUNTIFS(Connections!$B:$B,$A17,Connections!$C:$C,AH$1)&gt;0,1,"")</x:f>
      </x:c>
      <x:c r="AI17" t="str">
        <x:f>IF(COUNTIFS(Connections!$B:$B,$A17,Connections!$C:$C,AI$1)&gt;0,1,"")</x:f>
      </x:c>
      <x:c r="AJ17" t="str">
        <x:f>IF(COUNTIFS(Connections!$B:$B,$A17,Connections!$C:$C,AJ$1)&gt;0,1,"")</x:f>
      </x:c>
      <x:c r="AK17" t="str">
        <x:f>IF(COUNTIFS(Connections!$B:$B,$A17,Connections!$C:$C,AK$1)&gt;0,1,"")</x:f>
      </x:c>
      <x:c r="AL17" t="str">
        <x:f>IF(COUNTIFS(Connections!$B:$B,$A17,Connections!$C:$C,AL$1)&gt;0,1,"")</x:f>
      </x:c>
      <x:c r="AM17" t="str">
        <x:f>IF(COUNTIFS(Connections!$B:$B,$A17,Connections!$C:$C,AM$1)&gt;0,1,"")</x:f>
      </x:c>
      <x:c r="AN17" t="str">
        <x:f>IF(COUNTIFS(Connections!$B:$B,$A17,Connections!$C:$C,AN$1)&gt;0,1,"")</x:f>
      </x:c>
      <x:c r="AO17" t="str">
        <x:f>IF(COUNTIFS(Connections!$B:$B,$A17,Connections!$C:$C,AO$1)&gt;0,1,"")</x:f>
      </x:c>
      <x:c r="AP17" t="str">
        <x:f>IF(COUNTIFS(Connections!$B:$B,$A17,Connections!$C:$C,AP$1)&gt;0,1,"")</x:f>
      </x:c>
      <x:c r="AQ17" t="str">
        <x:f>IF(COUNTIFS(Connections!$B:$B,$A17,Connections!$C:$C,AQ$1)&gt;0,1,"")</x:f>
      </x:c>
      <x:c r="AR17" t="str">
        <x:f>IF(COUNTIFS(Connections!$B:$B,$A17,Connections!$C:$C,AR$1)&gt;0,1,"")</x:f>
      </x:c>
      <x:c r="AS17" t="str">
        <x:f>IF(COUNTIFS(Connections!$B:$B,$A17,Connections!$C:$C,AS$1)&gt;0,1,"")</x:f>
      </x:c>
      <x:c r="AT17" t="str">
        <x:f>IF(COUNTIFS(Connections!$B:$B,$A17,Connections!$C:$C,AT$1)&gt;0,1,"")</x:f>
      </x:c>
      <x:c r="AU17" t="str">
        <x:f>IF(COUNTIFS(Connections!$B:$B,$A17,Connections!$C:$C,AU$1)&gt;0,1,"")</x:f>
      </x:c>
      <x:c r="AV17" t="str">
        <x:f>IF(COUNTIFS(Connections!$B:$B,$A17,Connections!$C:$C,AV$1)&gt;0,1,"")</x:f>
      </x:c>
    </x:row>
  </x:sheetData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Views>
    <x:sheetView workbookViewId="0">
      <x:pane ySplit="1" topLeftCell="A2" activePane="bottomLeft" state="frozen"/>
    </x:sheetView>
  </x:sheetViews>
  <x:sheetFormatPr defaultRowHeight="15"/>
  <x:cols>
    <x:col min="1" max="1" width="38" hidden="0" customWidth="1"/>
    <x:col min="2" max="2" width="13" hidden="0" customWidth="1"/>
    <x:col min="3" max="3" width="13" hidden="0" customWidth="1"/>
    <x:col min="4" max="4" width="34" hidden="0" customWidth="1"/>
    <x:col min="5" max="5" width="34" hidden="0" customWidth="1"/>
    <x:col min="7" max="7" width="34" hidden="0" customWidth="1"/>
    <x:col min="8" max="8" width="3" hidden="0" customWidth="1"/>
    <x:col min="6" max="6" width="34" hidden="0" customWidth="1"/>
    <x:col min="9" max="9" width="38" hidden="0" customWidth="1"/>
    <x:col min="10" max="10" width="13" hidden="0" customWidth="1"/>
  </x:cols>
  <x:sheetData>
    <x:row r="1">
      <x:c r="A1" s="94" t="str">
        <x:v>System</x:v>
      </x:c>
      <x:c r="B1" s="94" t="str">
        <x:v>Paper Count</x:v>
      </x:c>
      <x:c r="C1" s="94" t="str">
        <x:v>Coverage</x:v>
      </x:c>
      <x:c r="D1" s="94" t="str">
        <x:v>Foundation Papers</x:v>
      </x:c>
      <x:c r="E1" s="94" t="str">
        <x:v>Construction Papers</x:v>
      </x:c>
      <x:c r="F1" s="85" t="str">
        <x:v>Action Papers</x:v>
      </x:c>
      <x:c r="G1" s="94" t="str">
        <x:v>Integration Papers</x:v>
      </x:c>
      <x:c r="H1" s="94"/>
      <x:c r="I1" s="85" t="str">
        <x:v>Top system</x:v>
      </x:c>
      <x:c r="J1" s="85" t="str">
        <x:v>Paper count</x:v>
      </x:c>
    </x:row>
    <x:row r="2">
      <x:c r="A2" s="34" t="str">
        <x:v>Basal ganglia / striatum</x:v>
      </x:c>
      <x:c r="B2" s="69" t="n">
        <x:f>COUNTIF(Connections!$C:$C,A2)</x:f>
        <x:v>9</x:v>
      </x:c>
      <x:c r="C2" s="69" t="str">
        <x:v>High</x:v>
      </x:c>
      <x:c r="D2" s="34" t="str">
        <x:v>EndGame, How Long Is a Thought?, Squirrel, Time</x:v>
      </x:c>
      <x:c r="E2" s="34" t="str">
        <x:v>Relevance, PhoneWalletKeys, Weight</x:v>
      </x:c>
      <x:c r="F2" s="34" t="str">
        <x:v>WhatchyaDoin</x:v>
      </x:c>
      <x:c r="G2" s="34" t="str">
        <x:v>FutureYou</x:v>
      </x:c>
      <x:c r="H2" s="34"/>
      <x:c r="I2" s="34" t="str">
        <x:v>Basal ganglia / striatum</x:v>
      </x:c>
      <x:c r="J2" s="34" t="n">
        <x:v>9</x:v>
      </x:c>
    </x:row>
    <x:row r="3">
      <x:c r="A3" s="34" t="str">
        <x:v>Hippocampus / medial temporal lobe</x:v>
      </x:c>
      <x:c r="B3" s="69" t="n">
        <x:f>COUNTIF(Connections!$C:$C,A3)</x:f>
        <x:v>8</x:v>
      </x:c>
      <x:c r="C3" s="69" t="str">
        <x:v>High</x:v>
      </x:c>
      <x:c r="D3" s="34" t="str">
        <x:v>How Long Is a Thought?, Icarus, Time</x:v>
      </x:c>
      <x:c r="E3" s="34" t="str">
        <x:v>Relevance, Pull, PhoneWalletKeys, Weight</x:v>
      </x:c>
      <x:c r="F3" s="34" t="str"/>
      <x:c r="G3" s="34" t="str">
        <x:v>FutureYou</x:v>
      </x:c>
      <x:c r="H3" s="34"/>
      <x:c r="I3" s="34" t="str">
        <x:v>Hippocampus / medial temporal lobe</x:v>
      </x:c>
      <x:c r="J3" s="34" t="n">
        <x:v>8</x:v>
      </x:c>
    </x:row>
    <x:row r="4">
      <x:c r="A4" s="34" t="str">
        <x:v>dACC / midcingulate cortex</x:v>
      </x:c>
      <x:c r="B4" s="69" t="n">
        <x:f>COUNTIF(Connections!$C:$C,A4)</x:f>
        <x:v>7</x:v>
      </x:c>
      <x:c r="C4" s="69" t="str">
        <x:v>High</x:v>
      </x:c>
      <x:c r="D4" s="34" t="str">
        <x:v>Containment, Squirrel, You Are Here</x:v>
      </x:c>
      <x:c r="E4" s="34" t="str">
        <x:v>Push, Weight</x:v>
      </x:c>
      <x:c r="F4" s="34" t="str">
        <x:v>WhatchyaDoin</x:v>
      </x:c>
      <x:c r="G4" s="34" t="str">
        <x:v>FutureYou</x:v>
      </x:c>
      <x:c r="H4" s="34"/>
      <x:c r="I4" s="34" t="str">
        <x:v>dACC / midcingulate cortex</x:v>
      </x:c>
      <x:c r="J4" s="34" t="n">
        <x:v>7</x:v>
      </x:c>
    </x:row>
    <x:row r="5">
      <x:c r="A5" s="34" t="str">
        <x:v>Anterior insula</x:v>
      </x:c>
      <x:c r="B5" s="69" t="n">
        <x:f>COUNTIF(Connections!$C:$C,A5)</x:f>
        <x:v>6</x:v>
      </x:c>
      <x:c r="C5" s="69" t="str">
        <x:v>High</x:v>
      </x:c>
      <x:c r="D5" s="34" t="str">
        <x:v>Containment, Time, You Are Here</x:v>
      </x:c>
      <x:c r="E5" s="34" t="str">
        <x:v>Push, FuckYourFeelings, Weight</x:v>
      </x:c>
      <x:c r="F5" s="34" t="str"/>
      <x:c r="G5" s="34" t="str"/>
      <x:c r="H5" s="34"/>
      <x:c r="I5" s="34" t="str">
        <x:v>Anterior insula</x:v>
      </x:c>
      <x:c r="J5" s="34" t="n">
        <x:v>6</x:v>
      </x:c>
    </x:row>
    <x:row r="6">
      <x:c r="A6" s="34" t="str">
        <x:v>aPFC / frontopolar cortex</x:v>
      </x:c>
      <x:c r="B6" s="69" t="n">
        <x:f>COUNTIF(Connections!$C:$C,A6)</x:f>
        <x:v>6</x:v>
      </x:c>
      <x:c r="C6" s="69" t="str">
        <x:v>High</x:v>
      </x:c>
      <x:c r="D6" s="34" t="str">
        <x:v>Squirrel, You Are Here</x:v>
      </x:c>
      <x:c r="E6" s="34" t="str">
        <x:v>Relevance, Push, Pull</x:v>
      </x:c>
      <x:c r="F6" s="34" t="str"/>
      <x:c r="G6" s="34" t="str">
        <x:v>FutureYou</x:v>
      </x:c>
      <x:c r="H6" s="34"/>
      <x:c r="I6" s="34" t="str">
        <x:v>aPFC / frontopolar cortex</x:v>
      </x:c>
      <x:c r="J6" s="34" t="n">
        <x:v>6</x:v>
      </x:c>
    </x:row>
    <x:row r="7">
      <x:c r="A7" s="34" t="str">
        <x:v>SMA / pre-SMA</x:v>
      </x:c>
      <x:c r="B7" s="69" t="n">
        <x:f>COUNTIF(Connections!$C:$C,A7)</x:f>
        <x:v>6</x:v>
      </x:c>
      <x:c r="C7" s="69" t="str">
        <x:v>High</x:v>
      </x:c>
      <x:c r="D7" s="34" t="str">
        <x:v>EndGame, How Long Is a Thought?, Squirrel, Time</x:v>
      </x:c>
      <x:c r="E7" s="34" t="str">
        <x:v>PhoneWalletKeys</x:v>
      </x:c>
      <x:c r="F7" s="34" t="str">
        <x:v>WhatchyaDoin</x:v>
      </x:c>
      <x:c r="G7" s="34" t="str"/>
      <x:c r="H7" s="34"/>
      <x:c r="I7" s="34" t="str">
        <x:v>SMA / pre-SMA</x:v>
      </x:c>
      <x:c r="J7" s="34" t="n">
        <x:v>6</x:v>
      </x:c>
    </x:row>
    <x:row r="8">
      <x:c r="A8" s="34" t="str">
        <x:v>Valuation systems</x:v>
      </x:c>
      <x:c r="B8" s="69" t="n">
        <x:f>COUNTIF(Connections!$C:$C,A8)</x:f>
        <x:v>6</x:v>
      </x:c>
      <x:c r="C8" s="69" t="str">
        <x:v>High</x:v>
      </x:c>
      <x:c r="D8" s="34" t="str">
        <x:v>Icarus, Squirrel</x:v>
      </x:c>
      <x:c r="E8" s="34" t="str">
        <x:v>Pull, FuckYourFeelings, Weight</x:v>
      </x:c>
      <x:c r="F8" s="34" t="str"/>
      <x:c r="G8" s="34" t="str">
        <x:v>FutureYou</x:v>
      </x:c>
      <x:c r="H8" s="34"/>
      <x:c r="I8" s="34" t="str">
        <x:v>Valuation systems</x:v>
      </x:c>
      <x:c r="J8" s="34" t="n">
        <x:v>6</x:v>
      </x:c>
    </x:row>
    <x:row r="9">
      <x:c r="A9" s="34" t="str">
        <x:v>DLPFC</x:v>
      </x:c>
      <x:c r="B9" s="70" t="n">
        <x:f>COUNTIF(Connections!$C:$C,A9)</x:f>
        <x:v>5</x:v>
      </x:c>
      <x:c r="C9" s="70" t="str">
        <x:v>High</x:v>
      </x:c>
      <x:c r="D9" s="34" t="str">
        <x:v>Squirrel, You Are Here</x:v>
      </x:c>
      <x:c r="E9" s="34" t="str">
        <x:v>Push, PhoneWalletKeys</x:v>
      </x:c>
      <x:c r="F9" s="34" t="str"/>
      <x:c r="G9" s="34" t="str">
        <x:v>FutureYou</x:v>
      </x:c>
      <x:c r="H9" s="34"/>
      <x:c r="I9" s="34" t="str">
        <x:v>DLPFC</x:v>
      </x:c>
      <x:c r="J9" s="34" t="n">
        <x:v>5</x:v>
      </x:c>
    </x:row>
    <x:row r="10">
      <x:c r="A10" s="34" t="str">
        <x:v>Interoceptive systems</x:v>
      </x:c>
      <x:c r="B10" s="70" t="n">
        <x:f>COUNTIF(Connections!$C:$C,A10)</x:f>
        <x:v>5</x:v>
      </x:c>
      <x:c r="C10" s="70" t="str">
        <x:v>High</x:v>
      </x:c>
      <x:c r="D10" s="34" t="str">
        <x:v>Containment, Icarus, Time</x:v>
      </x:c>
      <x:c r="E10" s="34" t="str">
        <x:v>FuckYourFeelings</x:v>
      </x:c>
      <x:c r="F10" s="34" t="str"/>
      <x:c r="G10" s="34" t="str">
        <x:v>FutureYou</x:v>
      </x:c>
      <x:c r="H10" s="34"/>
      <x:c r="I10" s="34" t="str">
        <x:v>Interoceptive systems</x:v>
      </x:c>
      <x:c r="J10" s="34" t="n">
        <x:v>5</x:v>
      </x:c>
    </x:row>
    <x:row r="11">
      <x:c r="A11" s="34" t="str">
        <x:v>Posterior parietal cortex</x:v>
      </x:c>
      <x:c r="B11" s="70" t="n">
        <x:f>COUNTIF(Connections!$C:$C,A11)</x:f>
        <x:v>5</x:v>
      </x:c>
      <x:c r="C11" s="70" t="str">
        <x:v>High</x:v>
      </x:c>
      <x:c r="D11" s="34" t="str">
        <x:v>EndGame, You Are Here</x:v>
      </x:c>
      <x:c r="E11" s="34" t="str">
        <x:v>Push</x:v>
      </x:c>
      <x:c r="F11" s="34" t="str">
        <x:v>WhatchyaDoin</x:v>
      </x:c>
      <x:c r="G11" s="34" t="str">
        <x:v>FutureYou</x:v>
      </x:c>
      <x:c r="H11" s="34"/>
      <x:c r="I11" s="34" t="str">
        <x:v>Posterior parietal cortex</x:v>
      </x:c>
      <x:c r="J11" s="34" t="n">
        <x:v>5</x:v>
      </x:c>
    </x:row>
    <x:row r="12">
      <x:c r="A12" s="34" t="str">
        <x:v>Autonomic / arousal systems</x:v>
      </x:c>
      <x:c r="B12" s="70" t="n">
        <x:f>COUNTIF(Connections!$C:$C,A12)</x:f>
        <x:v>4</x:v>
      </x:c>
      <x:c r="C12" s="70" t="str">
        <x:v>Medium</x:v>
      </x:c>
      <x:c r="D12" s="34" t="str">
        <x:v>Containment, Time</x:v>
      </x:c>
      <x:c r="E12" s="34" t="str">
        <x:v>FuckYourFeelings, Weight</x:v>
      </x:c>
      <x:c r="F12" s="34" t="str"/>
      <x:c r="G12" s="34" t="str"/>
      <x:c r="H12" s="34"/>
      <x:c r="I12" s="34" t="str">
        <x:v>Autonomic / arousal systems</x:v>
      </x:c>
      <x:c r="J12" s="34" t="n">
        <x:v>4</x:v>
      </x:c>
    </x:row>
    <x:row r="13">
      <x:c r="A13" s="34" t="str">
        <x:v>Default mode network</x:v>
      </x:c>
      <x:c r="B13" s="70" t="n">
        <x:f>COUNTIF(Connections!$C:$C,A13)</x:f>
        <x:v>4</x:v>
      </x:c>
      <x:c r="C13" s="70" t="str">
        <x:v>Medium</x:v>
      </x:c>
      <x:c r="D13" s="34" t="str">
        <x:v>Containment</x:v>
      </x:c>
      <x:c r="E13" s="34" t="str">
        <x:v>Pull, Weight</x:v>
      </x:c>
      <x:c r="F13" s="34" t="str"/>
      <x:c r="G13" s="34" t="str">
        <x:v>FutureYou</x:v>
      </x:c>
      <x:c r="H13" s="34"/>
      <x:c r="I13" s="34" t="str">
        <x:v>Default mode network</x:v>
      </x:c>
      <x:c r="J13" s="34" t="n">
        <x:v>4</x:v>
      </x:c>
    </x:row>
    <x:row r="14">
      <x:c r="A14" s="34" t="str">
        <x:v>Frontoparietal control network</x:v>
      </x:c>
      <x:c r="B14" s="70" t="n">
        <x:f>COUNTIF(Connections!$C:$C,A14)</x:f>
        <x:v>4</x:v>
      </x:c>
      <x:c r="C14" s="70" t="str">
        <x:v>Medium</x:v>
      </x:c>
      <x:c r="D14" s="34" t="str">
        <x:v>Containment, Squirrel, You Are Here</x:v>
      </x:c>
      <x:c r="E14" s="34" t="str"/>
      <x:c r="F14" s="34" t="str"/>
      <x:c r="G14" s="34" t="str">
        <x:v>FutureYou</x:v>
      </x:c>
      <x:c r="H14" s="34"/>
      <x:c r="I14" s="34" t="str">
        <x:v>Frontoparietal control network</x:v>
      </x:c>
      <x:c r="J14" s="34" t="n">
        <x:v>4</x:v>
      </x:c>
    </x:row>
    <x:row r="15">
      <x:c r="A15" s="34" t="str">
        <x:v>Prefrontal cortex, general</x:v>
      </x:c>
      <x:c r="B15" s="70" t="n">
        <x:f>COUNTIF(Connections!$C:$C,A15)</x:f>
        <x:v>4</x:v>
      </x:c>
      <x:c r="C15" s="70" t="str">
        <x:v>Medium</x:v>
      </x:c>
      <x:c r="D15" s="34" t="str">
        <x:v>How Long Is a Thought?, Time</x:v>
      </x:c>
      <x:c r="E15" s="34" t="str">
        <x:v>Relevance, PhoneWalletKeys</x:v>
      </x:c>
      <x:c r="F15" s="34" t="str"/>
      <x:c r="G15" s="34" t="str"/>
      <x:c r="H15" s="34"/>
      <x:c r="I15" s="34" t="str">
        <x:v>Prefrontal cortex, general</x:v>
      </x:c>
      <x:c r="J15" s="34" t="n">
        <x:v>4</x:v>
      </x:c>
    </x:row>
    <x:row r="16">
      <x:c r="A16" s="34" t="str">
        <x:v>Sensory cortex / sensory systems</x:v>
      </x:c>
      <x:c r="B16" s="70" t="n">
        <x:f>COUNTIF(Connections!$C:$C,A16)</x:f>
        <x:v>4</x:v>
      </x:c>
      <x:c r="C16" s="70" t="str">
        <x:v>Medium</x:v>
      </x:c>
      <x:c r="D16" s="34" t="str">
        <x:v>Containment, Icarus</x:v>
      </x:c>
      <x:c r="E16" s="34" t="str"/>
      <x:c r="F16" s="34" t="str">
        <x:v>WhatchyaDoin</x:v>
      </x:c>
      <x:c r="G16" s="34" t="str">
        <x:v>FutureYou</x:v>
      </x:c>
      <x:c r="H16" s="34"/>
      <x:c r="I16" s="34" t="str">
        <x:v>Sensory cortex / sensory systems</x:v>
      </x:c>
      <x:c r="J16" s="34" t="n">
        <x:v>4</x:v>
      </x:c>
    </x:row>
    <x:row r="17">
      <x:c r="A17" s="34" t="str">
        <x:v>Thalamus</x:v>
      </x:c>
      <x:c r="B17" s="70" t="n">
        <x:f>COUNTIF(Connections!$C:$C,A17)</x:f>
        <x:v>4</x:v>
      </x:c>
      <x:c r="C17" s="70" t="str">
        <x:v>Medium</x:v>
      </x:c>
      <x:c r="D17" s="34" t="str">
        <x:v>Containment, Icarus</x:v>
      </x:c>
      <x:c r="E17" s="34" t="str">
        <x:v>FuckYourFeelings</x:v>
      </x:c>
      <x:c r="F17" s="34" t="str"/>
      <x:c r="G17" s="34" t="str">
        <x:v>FutureYou</x:v>
      </x:c>
      <x:c r="H17" s="34"/>
      <x:c r="I17" s="34"/>
      <x:c r="J17" s="34"/>
    </x:row>
    <x:row r="18">
      <x:c r="A18" s="34" t="str">
        <x:v>vmPFC / OFC</x:v>
      </x:c>
      <x:c r="B18" s="70" t="n">
        <x:f>COUNTIF(Connections!$C:$C,A18)</x:f>
        <x:v>4</x:v>
      </x:c>
      <x:c r="C18" s="70" t="str">
        <x:v>Medium</x:v>
      </x:c>
      <x:c r="D18" s="34" t="str">
        <x:v>Squirrel</x:v>
      </x:c>
      <x:c r="E18" s="34" t="str">
        <x:v>FuckYourFeelings, Weight</x:v>
      </x:c>
      <x:c r="F18" s="34" t="str"/>
      <x:c r="G18" s="34" t="str">
        <x:v>FutureYou</x:v>
      </x:c>
      <x:c r="H18" s="34"/>
      <x:c r="I18" s="34"/>
      <x:c r="J18" s="34"/>
    </x:row>
    <x:row r="19">
      <x:c r="A19" s="34" t="str">
        <x:v>Cerebellum</x:v>
      </x:c>
      <x:c r="B19" s="70" t="n">
        <x:f>COUNTIF(Connections!$C:$C,A19)</x:f>
        <x:v>3</x:v>
      </x:c>
      <x:c r="C19" s="70" t="str">
        <x:v>Medium</x:v>
      </x:c>
      <x:c r="D19" s="34" t="str">
        <x:v>EndGame, How Long Is a Thought?, Time</x:v>
      </x:c>
      <x:c r="E19" s="34" t="str"/>
      <x:c r="F19" s="34" t="str"/>
      <x:c r="G19" s="34" t="str"/>
      <x:c r="H19" s="34"/>
      <x:c r="I19" s="34"/>
      <x:c r="J19" s="34"/>
    </x:row>
    <x:row r="20">
      <x:c r="A20" s="34" t="str">
        <x:v>Medial prefrontal cortex</x:v>
      </x:c>
      <x:c r="B20" s="71" t="n">
        <x:f>COUNTIF(Connections!$C:$C,A20)</x:f>
        <x:v>3</x:v>
      </x:c>
      <x:c r="C20" s="71" t="str">
        <x:v>Medium</x:v>
      </x:c>
      <x:c r="D20" s="34" t="str"/>
      <x:c r="E20" s="34" t="str">
        <x:v>Pull, Weight</x:v>
      </x:c>
      <x:c r="F20" s="34" t="str"/>
      <x:c r="G20" s="34" t="str">
        <x:v>FutureYou</x:v>
      </x:c>
      <x:c r="H20" s="34"/>
      <x:c r="I20" s="34"/>
      <x:c r="J20" s="34"/>
    </x:row>
    <x:row r="21">
      <x:c r="A21" s="34" t="str">
        <x:v>Posterior / mid insula</x:v>
      </x:c>
      <x:c r="B21" s="71" t="n">
        <x:f>COUNTIF(Connections!$C:$C,A21)</x:f>
        <x:v>3</x:v>
      </x:c>
      <x:c r="C21" s="71" t="str">
        <x:v>Medium</x:v>
      </x:c>
      <x:c r="D21" s="34" t="str">
        <x:v>Containment, Time</x:v>
      </x:c>
      <x:c r="E21" s="34" t="str">
        <x:v>FuckYourFeelings</x:v>
      </x:c>
      <x:c r="F21" s="34" t="str"/>
      <x:c r="G21" s="34" t="str"/>
      <x:c r="H21" s="34"/>
      <x:c r="I21" s="34"/>
      <x:c r="J21" s="34"/>
    </x:row>
    <x:row r="22">
      <x:c r="A22" s="34" t="str">
        <x:v>Premotor cortex</x:v>
      </x:c>
      <x:c r="B22" s="71" t="n">
        <x:f>COUNTIF(Connections!$C:$C,A22)</x:f>
        <x:v>3</x:v>
      </x:c>
      <x:c r="C22" s="71" t="str">
        <x:v>Medium</x:v>
      </x:c>
      <x:c r="D22" s="34" t="str">
        <x:v>EndGame</x:v>
      </x:c>
      <x:c r="E22" s="34" t="str">
        <x:v>PhoneWalletKeys</x:v>
      </x:c>
      <x:c r="F22" s="34" t="str">
        <x:v>WhatchyaDoin</x:v>
      </x:c>
      <x:c r="G22" s="34" t="str"/>
      <x:c r="H22" s="34"/>
      <x:c r="I22" s="34"/>
      <x:c r="J22" s="34"/>
    </x:row>
    <x:row r="23">
      <x:c r="A23" s="34" t="str">
        <x:v>ACC</x:v>
      </x:c>
      <x:c r="B23" s="71" t="n">
        <x:f>COUNTIF(Connections!$C:$C,A23)</x:f>
        <x:v>2</x:v>
      </x:c>
      <x:c r="C23" s="71" t="str">
        <x:v>Low</x:v>
      </x:c>
      <x:c r="D23" s="34" t="str">
        <x:v>Time</x:v>
      </x:c>
      <x:c r="E23" s="34" t="str">
        <x:v>FuckYourFeelings</x:v>
      </x:c>
      <x:c r="F23" s="34" t="str"/>
      <x:c r="G23" s="34" t="str"/>
      <x:c r="H23" s="34"/>
      <x:c r="I23" s="34"/>
      <x:c r="J23" s="34"/>
    </x:row>
    <x:row r="24">
      <x:c r="A24" s="34" t="str">
        <x:v>Dorsal premotor cortex</x:v>
      </x:c>
      <x:c r="B24" s="71" t="n">
        <x:f>COUNTIF(Connections!$C:$C,A24)</x:f>
        <x:v>2</x:v>
      </x:c>
      <x:c r="C24" s="71" t="str">
        <x:v>Low</x:v>
      </x:c>
      <x:c r="D24" s="34" t="str">
        <x:v>EndGame</x:v>
      </x:c>
      <x:c r="E24" s="34" t="str"/>
      <x:c r="F24" s="34" t="str">
        <x:v>WhatchyaDoin</x:v>
      </x:c>
      <x:c r="G24" s="34" t="str"/>
      <x:c r="H24" s="34"/>
      <x:c r="I24" s="34"/>
      <x:c r="J24" s="34"/>
    </x:row>
    <x:row r="25">
      <x:c r="A25" s="34" t="str">
        <x:v>Frontoparietal attention network</x:v>
      </x:c>
      <x:c r="B25" s="72" t="n">
        <x:f>COUNTIF(Connections!$C:$C,A25)</x:f>
        <x:v>2</x:v>
      </x:c>
      <x:c r="C25" s="72" t="str">
        <x:v>Low</x:v>
      </x:c>
      <x:c r="D25" s="34" t="str">
        <x:v>How Long Is a Thought?</x:v>
      </x:c>
      <x:c r="E25" s="34" t="str"/>
      <x:c r="F25" s="34" t="str"/>
      <x:c r="G25" s="34" t="str">
        <x:v>FutureYou</x:v>
      </x:c>
      <x:c r="H25" s="34"/>
      <x:c r="I25" s="34"/>
      <x:c r="J25" s="34"/>
    </x:row>
    <x:row r="26">
      <x:c r="A26" s="34" t="str">
        <x:v>Neuromodulatory systems</x:v>
      </x:c>
      <x:c r="B26" s="72" t="n">
        <x:f>COUNTIF(Connections!$C:$C,A26)</x:f>
        <x:v>2</x:v>
      </x:c>
      <x:c r="C26" s="72" t="str">
        <x:v>Low</x:v>
      </x:c>
      <x:c r="D26" s="34" t="str">
        <x:v>Icarus</x:v>
      </x:c>
      <x:c r="E26" s="34" t="str"/>
      <x:c r="F26" s="34" t="str">
        <x:v>WhatchyaDoin</x:v>
      </x:c>
      <x:c r="G26" s="34" t="str"/>
      <x:c r="H26" s="34"/>
      <x:c r="I26" s="34"/>
      <x:c r="J26" s="34"/>
    </x:row>
    <x:row r="27">
      <x:c r="A27" s="34" t="str">
        <x:v>Prospective-memory / timing systems</x:v>
      </x:c>
      <x:c r="B27" s="72" t="n">
        <x:f>COUNTIF(Connections!$C:$C,A27)</x:f>
        <x:v>2</x:v>
      </x:c>
      <x:c r="C27" s="72" t="str">
        <x:v>Low</x:v>
      </x:c>
      <x:c r="D27" s="34" t="str">
        <x:v>How Long Is a Thought?</x:v>
      </x:c>
      <x:c r="E27" s="34" t="str">
        <x:v>Relevance</x:v>
      </x:c>
      <x:c r="F27" s="34" t="str"/>
      <x:c r="G27" s="34" t="str"/>
      <x:c r="H27" s="34"/>
      <x:c r="I27" s="34"/>
      <x:c r="J27" s="34"/>
    </x:row>
    <x:row r="28">
      <x:c r="A28" s="34" t="str">
        <x:v>TPJ / pSTS</x:v>
      </x:c>
      <x:c r="B28" s="72" t="n">
        <x:f>COUNTIF(Connections!$C:$C,A28)</x:f>
        <x:v>2</x:v>
      </x:c>
      <x:c r="C28" s="72" t="str">
        <x:v>Low</x:v>
      </x:c>
      <x:c r="D28" s="34" t="str"/>
      <x:c r="E28" s="34" t="str">
        <x:v>Weight</x:v>
      </x:c>
      <x:c r="F28" s="34" t="str"/>
      <x:c r="G28" s="34" t="str">
        <x:v>FutureYou</x:v>
      </x:c>
      <x:c r="H28" s="34"/>
      <x:c r="I28" s="34"/>
      <x:c r="J28" s="34"/>
    </x:row>
    <x:row r="29">
      <x:c r="A29" s="34" t="str">
        <x:v>Amygdala</x:v>
      </x:c>
      <x:c r="B29" s="72" t="n">
        <x:f>COUNTIF(Connections!$C:$C,A29)</x:f>
        <x:v>1</x:v>
      </x:c>
      <x:c r="C29" s="72" t="str">
        <x:v>Singleton</x:v>
      </x:c>
      <x:c r="D29" s="34" t="str"/>
      <x:c r="E29" s="34" t="str">
        <x:v>FuckYourFeelings</x:v>
      </x:c>
      <x:c r="F29" s="34" t="str"/>
      <x:c r="G29" s="34" t="str"/>
      <x:c r="H29" s="34"/>
      <x:c r="I29" s="34"/>
      <x:c r="J29" s="34"/>
    </x:row>
    <x:row r="30">
      <x:c r="A30" s="34" t="str">
        <x:v>Angular gyrus</x:v>
      </x:c>
      <x:c r="B30" s="72" t="n">
        <x:f>COUNTIF(Connections!$C:$C,A30)</x:f>
        <x:v>1</x:v>
      </x:c>
      <x:c r="C30" s="72" t="str">
        <x:v>Singleton</x:v>
      </x:c>
      <x:c r="D30" s="34" t="str"/>
      <x:c r="E30" s="34" t="str">
        <x:v>Pull</x:v>
      </x:c>
      <x:c r="F30" s="34" t="str"/>
      <x:c r="G30" s="34" t="str"/>
      <x:c r="H30" s="34"/>
      <x:c r="I30" s="34"/>
      <x:c r="J30" s="34"/>
    </x:row>
    <x:row r="31">
      <x:c r="A31" s="34" t="str">
        <x:v>Apical dendrites</x:v>
      </x:c>
      <x:c r="B31" s="72" t="n">
        <x:f>COUNTIF(Connections!$C:$C,A31)</x:f>
        <x:v>1</x:v>
      </x:c>
      <x:c r="C31" s="72" t="str">
        <x:v>Singleton</x:v>
      </x:c>
      <x:c r="D31" s="34" t="str">
        <x:v>Icarus</x:v>
      </x:c>
      <x:c r="E31" s="34" t="str"/>
      <x:c r="F31" s="34" t="str"/>
      <x:c r="G31" s="34" t="str"/>
      <x:c r="H31" s="34"/>
      <x:c r="I31" s="34"/>
      <x:c r="J31" s="34"/>
    </x:row>
    <x:row r="32">
      <x:c r="A32" s="34" t="str">
        <x:v>Association cortex</x:v>
      </x:c>
      <x:c r="B32" s="72" t="n">
        <x:f>COUNTIF(Connections!$C:$C,A32)</x:f>
        <x:v>1</x:v>
      </x:c>
      <x:c r="C32" s="72" t="str">
        <x:v>Singleton</x:v>
      </x:c>
      <x:c r="D32" s="34" t="str">
        <x:v>Icarus</x:v>
      </x:c>
      <x:c r="E32" s="34" t="str"/>
      <x:c r="F32" s="34" t="str"/>
      <x:c r="G32" s="34" t="str"/>
      <x:c r="H32" s="34"/>
      <x:c r="I32" s="34"/>
      <x:c r="J32" s="34"/>
    </x:row>
    <x:row r="33">
      <x:c r="A33" s="34" t="str">
        <x:v>Brainstem</x:v>
      </x:c>
      <x:c r="B33" s="72" t="n">
        <x:f>COUNTIF(Connections!$C:$C,A33)</x:f>
        <x:v>1</x:v>
      </x:c>
      <x:c r="C33" s="72" t="str">
        <x:v>Singleton</x:v>
      </x:c>
      <x:c r="D33" s="34" t="str"/>
      <x:c r="E33" s="34" t="str">
        <x:v>FuckYourFeelings</x:v>
      </x:c>
      <x:c r="F33" s="34" t="str"/>
      <x:c r="G33" s="34" t="str"/>
      <x:c r="H33" s="34"/>
      <x:c r="I33" s="34"/>
      <x:c r="J33" s="34"/>
    </x:row>
    <x:row r="34">
      <x:c r="A34" s="34" t="str">
        <x:v>Cardiac systems</x:v>
      </x:c>
      <x:c r="B34" s="72" t="n">
        <x:f>COUNTIF(Connections!$C:$C,A34)</x:f>
        <x:v>1</x:v>
      </x:c>
      <x:c r="C34" s="72" t="str">
        <x:v>Singleton</x:v>
      </x:c>
      <x:c r="D34" s="34" t="str">
        <x:v>Time</x:v>
      </x:c>
      <x:c r="E34" s="34" t="str"/>
      <x:c r="F34" s="34" t="str"/>
      <x:c r="G34" s="34" t="str"/>
      <x:c r="H34" s="34"/>
      <x:c r="I34" s="34"/>
      <x:c r="J34" s="34"/>
    </x:row>
    <x:row r="35">
      <x:c r="A35" s="34" t="str">
        <x:v>Caudate</x:v>
      </x:c>
      <x:c r="B35" s="72" t="n">
        <x:f>COUNTIF(Connections!$C:$C,A35)</x:f>
        <x:v>1</x:v>
      </x:c>
      <x:c r="C35" s="72" t="str">
        <x:v>Singleton</x:v>
      </x:c>
      <x:c r="D35" s="34" t="str"/>
      <x:c r="E35" s="34" t="str">
        <x:v>PhoneWalletKeys</x:v>
      </x:c>
      <x:c r="F35" s="34" t="str"/>
      <x:c r="G35" s="34" t="str"/>
      <x:c r="H35" s="34"/>
      <x:c r="I35" s="34"/>
      <x:c r="J35" s="34"/>
    </x:row>
    <x:row r="36">
      <x:c r="A36" s="34" t="str">
        <x:v>Frontostriatal systems</x:v>
      </x:c>
      <x:c r="B36" s="72" t="n">
        <x:f>COUNTIF(Connections!$C:$C,A36)</x:f>
        <x:v>1</x:v>
      </x:c>
      <x:c r="C36" s="72" t="str">
        <x:v>Singleton</x:v>
      </x:c>
      <x:c r="D36" s="34" t="str"/>
      <x:c r="E36" s="34" t="str">
        <x:v>Push</x:v>
      </x:c>
      <x:c r="F36" s="34" t="str"/>
      <x:c r="G36" s="34" t="str"/>
      <x:c r="H36" s="34"/>
      <x:c r="I36" s="34"/>
      <x:c r="J36" s="34"/>
    </x:row>
    <x:row r="37">
      <x:c r="A37" s="34" t="str">
        <x:v>Gene-regulatory / plasticity systems</x:v>
      </x:c>
      <x:c r="B37" s="72" t="n">
        <x:f>COUNTIF(Connections!$C:$C,A37)</x:f>
        <x:v>1</x:v>
      </x:c>
      <x:c r="C37" s="72" t="str">
        <x:v>Singleton</x:v>
      </x:c>
      <x:c r="D37" s="34" t="str">
        <x:v>Icarus</x:v>
      </x:c>
      <x:c r="E37" s="34" t="str"/>
      <x:c r="F37" s="34" t="str"/>
      <x:c r="G37" s="34" t="str"/>
      <x:c r="H37" s="34"/>
      <x:c r="I37" s="34"/>
      <x:c r="J37" s="34"/>
    </x:row>
    <x:row r="38">
      <x:c r="A38" s="34" t="str">
        <x:v>Higher-order thalamus</x:v>
      </x:c>
      <x:c r="B38" s="72" t="n">
        <x:f>COUNTIF(Connections!$C:$C,A38)</x:f>
        <x:v>1</x:v>
      </x:c>
      <x:c r="C38" s="72" t="str">
        <x:v>Singleton</x:v>
      </x:c>
      <x:c r="D38" s="34" t="str">
        <x:v>Icarus</x:v>
      </x:c>
      <x:c r="E38" s="34" t="str"/>
      <x:c r="F38" s="34" t="str"/>
      <x:c r="G38" s="34" t="str"/>
      <x:c r="H38" s="34"/>
      <x:c r="I38" s="34"/>
      <x:c r="J38" s="34"/>
    </x:row>
    <x:row r="39">
      <x:c r="A39" s="34" t="str">
        <x:v>Hypothalamus</x:v>
      </x:c>
      <x:c r="B39" s="72" t="n">
        <x:f>COUNTIF(Connections!$C:$C,A39)</x:f>
        <x:v>1</x:v>
      </x:c>
      <x:c r="C39" s="72" t="str">
        <x:v>Singleton</x:v>
      </x:c>
      <x:c r="D39" s="34" t="str"/>
      <x:c r="E39" s="34" t="str">
        <x:v>FuckYourFeelings</x:v>
      </x:c>
      <x:c r="F39" s="34" t="str"/>
      <x:c r="G39" s="34" t="str"/>
      <x:c r="H39" s="34"/>
      <x:c r="I39" s="34"/>
      <x:c r="J39" s="34"/>
    </x:row>
    <x:row r="40">
      <x:c r="A40" s="34" t="str">
        <x:v>Lateral / anterior prefrontal cortex</x:v>
      </x:c>
      <x:c r="B40" s="72" t="n">
        <x:f>COUNTIF(Connections!$C:$C,A40)</x:f>
        <x:v>1</x:v>
      </x:c>
      <x:c r="C40" s="72" t="str">
        <x:v>Singleton</x:v>
      </x:c>
      <x:c r="D40" s="34" t="str"/>
      <x:c r="E40" s="34" t="str">
        <x:v>Pull</x:v>
      </x:c>
      <x:c r="F40" s="34" t="str"/>
      <x:c r="G40" s="34" t="str"/>
      <x:c r="H40" s="34"/>
      <x:c r="I40" s="34"/>
      <x:c r="J40" s="34"/>
    </x:row>
    <x:row r="41">
      <x:c r="A41" s="34" t="str">
        <x:v>Layer-5 pyramidal neurons</x:v>
      </x:c>
      <x:c r="B41" s="72" t="n">
        <x:f>COUNTIF(Connections!$C:$C,A41)</x:f>
        <x:v>1</x:v>
      </x:c>
      <x:c r="C41" s="72" t="str">
        <x:v>Singleton</x:v>
      </x:c>
      <x:c r="D41" s="34" t="str">
        <x:v>Icarus</x:v>
      </x:c>
      <x:c r="E41" s="34" t="str"/>
      <x:c r="F41" s="34" t="str"/>
      <x:c r="G41" s="34" t="str"/>
      <x:c r="H41" s="34"/>
      <x:c r="I41" s="34"/>
      <x:c r="J41" s="34"/>
    </x:row>
    <x:row r="42">
      <x:c r="A42" s="34" t="str">
        <x:v>Locus coeruleus / noradrenergic system</x:v>
      </x:c>
      <x:c r="B42" s="72" t="n">
        <x:f>COUNTIF(Connections!$C:$C,A42)</x:f>
        <x:v>1</x:v>
      </x:c>
      <x:c r="C42" s="72" t="str">
        <x:v>Singleton</x:v>
      </x:c>
      <x:c r="D42" s="34" t="str"/>
      <x:c r="E42" s="34" t="str"/>
      <x:c r="F42" s="34" t="str">
        <x:v>WhatchyaDoin</x:v>
      </x:c>
      <x:c r="G42" s="34" t="str"/>
      <x:c r="H42" s="34"/>
      <x:c r="I42" s="34"/>
      <x:c r="J42" s="34"/>
    </x:row>
    <x:row r="43">
      <x:c r="A43" s="34" t="str">
        <x:v>Motor cortex</x:v>
      </x:c>
      <x:c r="B43" s="72" t="n">
        <x:f>COUNTIF(Connections!$C:$C,A43)</x:f>
        <x:v>1</x:v>
      </x:c>
      <x:c r="C43" s="72" t="str">
        <x:v>Singleton</x:v>
      </x:c>
      <x:c r="D43" s="34" t="str">
        <x:v>EndGame</x:v>
      </x:c>
      <x:c r="E43" s="34" t="str"/>
      <x:c r="F43" s="34" t="str"/>
      <x:c r="G43" s="34" t="str"/>
      <x:c r="H43" s="34"/>
      <x:c r="I43" s="34"/>
      <x:c r="J43" s="34"/>
    </x:row>
    <x:row r="44">
      <x:c r="A44" s="34" t="str">
        <x:v>PCC / precuneus</x:v>
      </x:c>
      <x:c r="B44" s="72" t="n">
        <x:f>COUNTIF(Connections!$C:$C,A44)</x:f>
        <x:v>1</x:v>
      </x:c>
      <x:c r="C44" s="72" t="str">
        <x:v>Singleton</x:v>
      </x:c>
      <x:c r="D44" s="34" t="str"/>
      <x:c r="E44" s="34" t="str">
        <x:v>Pull</x:v>
      </x:c>
      <x:c r="F44" s="34" t="str"/>
      <x:c r="G44" s="34" t="str"/>
      <x:c r="H44" s="34"/>
      <x:c r="I44" s="34"/>
      <x:c r="J44" s="34"/>
    </x:row>
    <x:row r="45">
      <x:c r="A45" s="34" t="str">
        <x:v>Substantia nigra dopaminergic system</x:v>
      </x:c>
      <x:c r="B45" s="72" t="n">
        <x:f>COUNTIF(Connections!$C:$C,A45)</x:f>
        <x:v>1</x:v>
      </x:c>
      <x:c r="C45" s="72" t="str">
        <x:v>Singleton</x:v>
      </x:c>
      <x:c r="D45" s="34" t="str"/>
      <x:c r="E45" s="34" t="str"/>
      <x:c r="F45" s="34" t="str">
        <x:v>WhatchyaDoin</x:v>
      </x:c>
      <x:c r="G45" s="34" t="str"/>
      <x:c r="H45" s="34"/>
      <x:c r="I45" s="34"/>
      <x:c r="J45" s="34"/>
    </x:row>
    <x:row r="46">
      <x:c r="A46" s="34" t="str">
        <x:v>Thalamocortical circuits</x:v>
      </x:c>
      <x:c r="B46" s="34" t="n">
        <x:f>COUNTIF(Connections!$C:$C,A46)</x:f>
        <x:v>1</x:v>
      </x:c>
      <x:c r="C46" s="34" t="str">
        <x:v>Singleton</x:v>
      </x:c>
      <x:c r="D46" s="34" t="str">
        <x:v>Icarus</x:v>
      </x:c>
      <x:c r="E46" s="34" t="str"/>
      <x:c r="F46" s="34" t="str"/>
      <x:c r="G46" s="34" t="str"/>
      <x:c r="H46" s="34"/>
      <x:c r="I46" s="34"/>
      <x:c r="J46" s="34"/>
    </x:row>
    <x:row r="47">
      <x:c r="A47" s="34" t="str">
        <x:v>Ventral striatum</x:v>
      </x:c>
      <x:c r="B47" s="34" t="n">
        <x:f>COUNTIF(Connections!$C:$C,A47)</x:f>
        <x:v>1</x:v>
      </x:c>
      <x:c r="C47" s="34" t="str">
        <x:v>Singleton</x:v>
      </x:c>
      <x:c r="D47" s="34" t="str"/>
      <x:c r="E47" s="34" t="str">
        <x:v>Weight</x:v>
      </x:c>
      <x:c r="F47" s="34" t="str"/>
      <x:c r="G47" s="34" t="str"/>
      <x:c r="H47" s="34"/>
      <x:c r="I47" s="34"/>
      <x:c r="J47" s="34"/>
    </x:row>
  </x:sheetData>
  <x:pageMargins left="0.7" right="0.7" top="0.75" bottom="0.75" header="0.3" footer="0.3"/>
  <x:drawing xmlns:r="http://schemas.openxmlformats.org/officeDocument/2006/relationships" r:id="R4f1892ff34074dbf"/>
  <x:tableParts count="1">
    <x:tablePart xmlns:r="http://schemas.openxmlformats.org/officeDocument/2006/relationships" r:id="R5ace375938d04ccc"/>
  </x:tableParts>
</x:worksheet>
</file>